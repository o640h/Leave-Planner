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Leave Planner\"/>
    </mc:Choice>
  </mc:AlternateContent>
  <xr:revisionPtr revIDLastSave="0" documentId="13_ncr:1_{28A9B332-2B83-4FCB-8AAA-38A0BA51F670}" xr6:coauthVersionLast="47" xr6:coauthVersionMax="47" xr10:uidLastSave="{00000000-0000-0000-0000-000000000000}"/>
  <bookViews>
    <workbookView xWindow="1095" yWindow="4380" windowWidth="28800" windowHeight="15435" xr2:uid="{71D0B1E9-987B-41C0-8599-0E54CE3C1A61}"/>
  </bookViews>
  <sheets>
    <sheet name="Master" sheetId="1" r:id="rId1"/>
    <sheet name="Annual Leave Log" sheetId="2" r:id="rId2"/>
    <sheet name="Sheet1" sheetId="3" r:id="rId3"/>
  </sheets>
  <definedNames>
    <definedName name="OtherLeave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4" i="2" l="1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M36" i="2"/>
  <c r="N36" i="2"/>
  <c r="M37" i="2"/>
  <c r="N37" i="2"/>
  <c r="M38" i="2"/>
  <c r="N38" i="2"/>
  <c r="M39" i="2"/>
  <c r="N39" i="2"/>
  <c r="M40" i="2"/>
  <c r="N40" i="2"/>
  <c r="M41" i="2"/>
  <c r="N41" i="2"/>
  <c r="M52" i="2"/>
  <c r="N52" i="2"/>
  <c r="M53" i="2"/>
  <c r="N53" i="2"/>
  <c r="M54" i="2"/>
  <c r="N54" i="2"/>
  <c r="M55" i="2"/>
  <c r="N55" i="2"/>
  <c r="M56" i="2"/>
  <c r="N56" i="2"/>
  <c r="M57" i="2"/>
  <c r="N57" i="2"/>
  <c r="M58" i="2"/>
  <c r="N58" i="2"/>
  <c r="M59" i="2"/>
  <c r="N59" i="2"/>
  <c r="M60" i="2"/>
  <c r="N60" i="2"/>
  <c r="M42" i="2"/>
  <c r="N42" i="2"/>
  <c r="M43" i="2"/>
  <c r="N43" i="2"/>
  <c r="M51" i="2"/>
  <c r="N51" i="2"/>
  <c r="M61" i="2"/>
  <c r="N61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35" i="2"/>
  <c r="N35" i="2"/>
  <c r="J14" i="1" l="1"/>
  <c r="D7" i="3"/>
  <c r="N8" i="2"/>
  <c r="M8" i="2"/>
  <c r="N14" i="2"/>
  <c r="N13" i="2"/>
  <c r="N12" i="2"/>
  <c r="N11" i="2"/>
  <c r="N10" i="2"/>
  <c r="N9" i="2"/>
  <c r="M14" i="2"/>
  <c r="M13" i="2"/>
  <c r="M12" i="2"/>
  <c r="M11" i="2"/>
  <c r="M10" i="2"/>
  <c r="M9" i="2"/>
  <c r="B10" i="1"/>
  <c r="N2" i="2" l="1"/>
  <c r="M2" i="2"/>
  <c r="E10" i="1"/>
  <c r="E9" i="1"/>
  <c r="B9" i="1"/>
  <c r="B25" i="1" l="1"/>
  <c r="B24" i="1"/>
  <c r="B23" i="1"/>
  <c r="B22" i="1"/>
  <c r="B21" i="1"/>
  <c r="N75" i="2"/>
  <c r="M75" i="2"/>
  <c r="N74" i="2"/>
  <c r="M74" i="2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15" i="2"/>
  <c r="N46" i="2" s="1"/>
  <c r="M15" i="2"/>
  <c r="M46" i="2" s="1"/>
  <c r="E11" i="1"/>
  <c r="E16" i="1" s="1"/>
  <c r="B11" i="1"/>
  <c r="B16" i="1" s="1"/>
  <c r="E14" i="1"/>
  <c r="D6" i="3"/>
  <c r="D4" i="3"/>
  <c r="D3" i="3"/>
  <c r="D8" i="3" s="1"/>
  <c r="D10" i="3" s="1"/>
  <c r="G2" i="2"/>
  <c r="B14" i="1"/>
  <c r="N81" i="2" l="1"/>
  <c r="M81" i="2"/>
  <c r="B18" i="1"/>
  <c r="E17" i="1"/>
  <c r="E18" i="1"/>
  <c r="B17" i="1"/>
  <c r="J16" i="1" l="1"/>
  <c r="J18" i="1" s="1"/>
  <c r="G22" i="1"/>
  <c r="H22" i="1"/>
  <c r="K16" i="1"/>
  <c r="K18" i="1" s="1"/>
  <c r="G24" i="1" l="1"/>
  <c r="H24" i="1"/>
  <c r="B2" i="2"/>
</calcChain>
</file>

<file path=xl/sharedStrings.xml><?xml version="1.0" encoding="utf-8"?>
<sst xmlns="http://schemas.openxmlformats.org/spreadsheetml/2006/main" count="111" uniqueCount="57">
  <si>
    <t>NAME</t>
  </si>
  <si>
    <t>POST TITLE</t>
  </si>
  <si>
    <t>A/L YEAR DATES</t>
  </si>
  <si>
    <t>From</t>
  </si>
  <si>
    <t>To</t>
  </si>
  <si>
    <t>(Bank Holiday)</t>
  </si>
  <si>
    <t>Monday</t>
  </si>
  <si>
    <t>Tuesday</t>
  </si>
  <si>
    <t>Wednesday</t>
  </si>
  <si>
    <t>Thursday</t>
  </si>
  <si>
    <t>Friday</t>
  </si>
  <si>
    <t>DCC Hours</t>
  </si>
  <si>
    <t>SPA Hours</t>
  </si>
  <si>
    <t>Job Plan SPA:</t>
  </si>
  <si>
    <t>Total Hours taken:</t>
  </si>
  <si>
    <t>DCC</t>
  </si>
  <si>
    <t>SPA</t>
  </si>
  <si>
    <t>Consultant Name:</t>
  </si>
  <si>
    <t>Post Title:</t>
  </si>
  <si>
    <t>Annual Leave Year Dates:</t>
  </si>
  <si>
    <t>Job Plan Total PA:</t>
  </si>
  <si>
    <t>Job Plan DCC:</t>
  </si>
  <si>
    <t>Annual Leave entitlement (Inc. B/H):</t>
  </si>
  <si>
    <t>Carry Forward:</t>
  </si>
  <si>
    <t>Total Leave entitlement (Hours):</t>
  </si>
  <si>
    <t>Basic</t>
  </si>
  <si>
    <t>Seniority (&gt;7 yrs)</t>
  </si>
  <si>
    <t>Stat Days</t>
  </si>
  <si>
    <t>Hospital R&amp;R</t>
  </si>
  <si>
    <t>Bank Hols</t>
  </si>
  <si>
    <t>Days</t>
  </si>
  <si>
    <t>Hours</t>
  </si>
  <si>
    <t>Total Hours:</t>
  </si>
  <si>
    <t>Leave taken</t>
  </si>
  <si>
    <t>Mondays</t>
  </si>
  <si>
    <t>Tuesdays</t>
  </si>
  <si>
    <t>Wednesdays</t>
  </si>
  <si>
    <t>Thursdays</t>
  </si>
  <si>
    <t>Fridays</t>
  </si>
  <si>
    <t>Standard Job plan hours:</t>
  </si>
  <si>
    <t>Annual Leave DCC/SPA:</t>
  </si>
  <si>
    <t>Leave Taken:</t>
  </si>
  <si>
    <t>Leave Remaining:</t>
  </si>
  <si>
    <t>From:</t>
  </si>
  <si>
    <t>To:</t>
  </si>
  <si>
    <t>Job plan 1</t>
  </si>
  <si>
    <t>Number of days:</t>
  </si>
  <si>
    <t>Job plan 2</t>
  </si>
  <si>
    <t>Annual Leave accrued:</t>
  </si>
  <si>
    <t>Annual Leave dates (Job plan 1)</t>
  </si>
  <si>
    <t>Annual Leave dates (Job plan 2)</t>
  </si>
  <si>
    <t>to</t>
  </si>
  <si>
    <t>Job plan review date:</t>
  </si>
  <si>
    <t>Consultant in Radiology</t>
  </si>
  <si>
    <t>Pro-rata:</t>
  </si>
  <si>
    <t>on-call</t>
  </si>
  <si>
    <t>Anonymous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</si>
</sst>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00"/>
    <numFmt numFmtId="166" formatCode="#,##0.00_ ;[Red]\-#,##0.00\ "/>
  </numFmts>
  <fonts count="1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4" tint="-0.249977111117893"/>
      <name val="Arial"/>
      <family val="2"/>
    </font>
    <font>
      <b/>
      <sz val="9"/>
      <name val="Helvetica"/>
      <family val="2"/>
    </font>
    <font>
      <sz val="9"/>
      <color theme="4" tint="-0.249977111117893"/>
      <name val="Helvetica"/>
      <family val="2"/>
    </font>
    <font>
      <sz val="11"/>
      <name val="Aptos Narrow"/>
      <family val="2"/>
      <scheme val="minor"/>
    </font>
    <font>
      <sz val="9"/>
      <name val="Helvetica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Hel"/>
    </font>
    <font>
      <b/>
      <u/>
      <sz val="9"/>
      <name val="Helvetica"/>
      <family val="2"/>
    </font>
    <font>
      <b/>
      <sz val="9"/>
      <name val="Helvetica"/>
    </font>
    <font>
      <b/>
      <sz val="11"/>
      <name val="Aptos Narrow"/>
      <family val="2"/>
      <scheme val="minor"/>
    </font>
    <font>
      <b/>
      <sz val="8"/>
      <color theme="4" tint="-0.249977111117893"/>
      <name val="Helvetica"/>
      <family val="2"/>
    </font>
    <font>
      <b/>
      <sz val="10"/>
      <name val="Hel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0" fontId="2" fillId="0" borderId="0"/>
    <xf numFmtId="0" fontId="2" fillId="0" borderId="0" applyBorder="0"/>
  </cellStyleXfs>
  <cellXfs count="155">
    <xf numFmtId="0" fontId="0" fillId="0" borderId="0" xfId="0"/>
    <xf numFmtId="0" fontId="3" fillId="0" borderId="0" xfId="1" applyFont="1"/>
    <xf numFmtId="0" fontId="2" fillId="0" borderId="0" xfId="1"/>
    <xf numFmtId="14" fontId="4" fillId="0" borderId="1" xfId="1" applyNumberFormat="1" applyFont="1" applyBorder="1" applyAlignment="1">
      <alignment horizontal="center" vertical="center"/>
    </xf>
    <xf numFmtId="0" fontId="2" fillId="0" borderId="1" xfId="1" applyBorder="1"/>
    <xf numFmtId="14" fontId="10" fillId="0" borderId="1" xfId="1" applyNumberFormat="1" applyFont="1" applyBorder="1"/>
    <xf numFmtId="14" fontId="2" fillId="0" borderId="1" xfId="1" applyNumberFormat="1" applyBorder="1"/>
    <xf numFmtId="0" fontId="11" fillId="3" borderId="4" xfId="1" applyFont="1" applyFill="1" applyBorder="1" applyAlignment="1">
      <alignment horizontal="center" vertical="center"/>
    </xf>
    <xf numFmtId="0" fontId="6" fillId="0" borderId="0" xfId="0" applyFont="1" applyAlignment="1">
      <alignment horizontal="left" wrapText="1"/>
    </xf>
    <xf numFmtId="0" fontId="7" fillId="0" borderId="0" xfId="1" applyFont="1"/>
    <xf numFmtId="0" fontId="5" fillId="0" borderId="0" xfId="1" applyFont="1"/>
    <xf numFmtId="0" fontId="4" fillId="2" borderId="0" xfId="1" applyFont="1" applyFill="1" applyAlignment="1">
      <alignment horizontal="center"/>
    </xf>
    <xf numFmtId="0" fontId="4" fillId="3" borderId="11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 wrapText="1"/>
    </xf>
    <xf numFmtId="0" fontId="9" fillId="7" borderId="1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14" fontId="4" fillId="0" borderId="3" xfId="1" applyNumberFormat="1" applyFont="1" applyBorder="1" applyAlignment="1">
      <alignment horizontal="center" vertical="center"/>
    </xf>
    <xf numFmtId="14" fontId="8" fillId="0" borderId="3" xfId="1" applyNumberFormat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2" fillId="0" borderId="0" xfId="1" applyAlignment="1">
      <alignment horizontal="center" vertical="center"/>
    </xf>
    <xf numFmtId="0" fontId="2" fillId="0" borderId="10" xfId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13" xfId="1" applyBorder="1"/>
    <xf numFmtId="0" fontId="14" fillId="0" borderId="8" xfId="1" applyFont="1" applyBorder="1"/>
    <xf numFmtId="0" fontId="9" fillId="0" borderId="12" xfId="1" applyFont="1" applyBorder="1"/>
    <xf numFmtId="0" fontId="13" fillId="0" borderId="12" xfId="0" applyFont="1" applyBorder="1" applyAlignment="1">
      <alignment horizontal="left" wrapText="1"/>
    </xf>
    <xf numFmtId="0" fontId="9" fillId="0" borderId="6" xfId="1" applyFont="1" applyBorder="1"/>
    <xf numFmtId="0" fontId="9" fillId="0" borderId="9" xfId="1" applyFont="1" applyBorder="1"/>
    <xf numFmtId="0" fontId="9" fillId="0" borderId="15" xfId="1" applyFont="1" applyBorder="1"/>
    <xf numFmtId="0" fontId="9" fillId="0" borderId="7" xfId="1" applyFont="1" applyBorder="1" applyAlignment="1">
      <alignment horizontal="center" vertical="center"/>
    </xf>
    <xf numFmtId="4" fontId="12" fillId="7" borderId="1" xfId="1" applyNumberFormat="1" applyFont="1" applyFill="1" applyBorder="1" applyAlignment="1">
      <alignment horizontal="center" vertical="center"/>
    </xf>
    <xf numFmtId="164" fontId="4" fillId="8" borderId="1" xfId="1" applyNumberFormat="1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4" fillId="13" borderId="1" xfId="1" applyNumberFormat="1" applyFont="1" applyFill="1" applyBorder="1" applyAlignment="1">
      <alignment horizontal="center" vertical="center"/>
    </xf>
    <xf numFmtId="164" fontId="4" fillId="14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9" xfId="0" applyBorder="1"/>
    <xf numFmtId="0" fontId="1" fillId="9" borderId="18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5" fontId="1" fillId="4" borderId="19" xfId="0" applyNumberFormat="1" applyFont="1" applyFill="1" applyBorder="1" applyAlignment="1">
      <alignment horizontal="center" vertical="center"/>
    </xf>
    <xf numFmtId="0" fontId="0" fillId="3" borderId="0" xfId="0" applyFill="1"/>
    <xf numFmtId="0" fontId="13" fillId="5" borderId="0" xfId="0" applyFont="1" applyFill="1" applyAlignment="1">
      <alignment horizontal="center" vertical="center" wrapText="1"/>
    </xf>
    <xf numFmtId="4" fontId="1" fillId="5" borderId="0" xfId="0" applyNumberFormat="1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165" fontId="1" fillId="6" borderId="19" xfId="0" applyNumberFormat="1" applyFont="1" applyFill="1" applyBorder="1" applyAlignment="1">
      <alignment horizontal="center" vertical="center"/>
    </xf>
    <xf numFmtId="0" fontId="0" fillId="0" borderId="18" xfId="0" applyBorder="1"/>
    <xf numFmtId="166" fontId="1" fillId="6" borderId="19" xfId="0" applyNumberFormat="1" applyFont="1" applyFill="1" applyBorder="1" applyAlignment="1">
      <alignment horizontal="center" vertical="center"/>
    </xf>
    <xf numFmtId="166" fontId="1" fillId="6" borderId="21" xfId="0" applyNumberFormat="1" applyFont="1" applyFill="1" applyBorder="1" applyAlignment="1">
      <alignment horizontal="center" vertical="center"/>
    </xf>
    <xf numFmtId="4" fontId="12" fillId="0" borderId="0" xfId="1" applyNumberFormat="1" applyFont="1" applyAlignment="1">
      <alignment horizontal="center" vertical="center"/>
    </xf>
    <xf numFmtId="4" fontId="12" fillId="0" borderId="10" xfId="1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0" fillId="3" borderId="12" xfId="0" applyFill="1" applyBorder="1"/>
    <xf numFmtId="0" fontId="13" fillId="5" borderId="10" xfId="0" applyFont="1" applyFill="1" applyBorder="1" applyAlignment="1">
      <alignment horizontal="center" vertical="center" wrapText="1"/>
    </xf>
    <xf numFmtId="4" fontId="1" fillId="5" borderId="10" xfId="0" applyNumberFormat="1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4" fontId="1" fillId="6" borderId="13" xfId="0" applyNumberFormat="1" applyFont="1" applyFill="1" applyBorder="1" applyAlignment="1">
      <alignment horizontal="center" vertical="center"/>
    </xf>
    <xf numFmtId="4" fontId="1" fillId="6" borderId="7" xfId="0" applyNumberFormat="1" applyFont="1" applyFill="1" applyBorder="1" applyAlignment="1">
      <alignment horizontal="center" vertical="center"/>
    </xf>
    <xf numFmtId="166" fontId="4" fillId="3" borderId="11" xfId="1" applyNumberFormat="1" applyFont="1" applyFill="1" applyBorder="1" applyAlignment="1">
      <alignment horizontal="center" vertical="center"/>
    </xf>
    <xf numFmtId="166" fontId="4" fillId="8" borderId="1" xfId="1" applyNumberFormat="1" applyFont="1" applyFill="1" applyBorder="1" applyAlignment="1">
      <alignment horizontal="center" vertical="center"/>
    </xf>
    <xf numFmtId="166" fontId="4" fillId="0" borderId="1" xfId="1" applyNumberFormat="1" applyFont="1" applyBorder="1" applyAlignment="1">
      <alignment horizontal="center" vertical="center"/>
    </xf>
    <xf numFmtId="166" fontId="9" fillId="8" borderId="1" xfId="1" applyNumberFormat="1" applyFont="1" applyFill="1" applyBorder="1" applyAlignment="1">
      <alignment horizontal="center" vertical="center"/>
    </xf>
    <xf numFmtId="166" fontId="9" fillId="0" borderId="1" xfId="1" applyNumberFormat="1" applyFont="1" applyBorder="1" applyAlignment="1">
      <alignment horizontal="center" vertical="center"/>
    </xf>
    <xf numFmtId="166" fontId="15" fillId="8" borderId="1" xfId="1" applyNumberFormat="1" applyFont="1" applyFill="1" applyBorder="1" applyAlignment="1">
      <alignment horizontal="center" vertical="center"/>
    </xf>
    <xf numFmtId="166" fontId="15" fillId="0" borderId="1" xfId="1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6" xfId="0" applyBorder="1"/>
    <xf numFmtId="0" fontId="0" fillId="0" borderId="14" xfId="0" applyBorder="1"/>
    <xf numFmtId="0" fontId="1" fillId="0" borderId="14" xfId="0" applyFont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14" fontId="1" fillId="9" borderId="19" xfId="0" applyNumberFormat="1" applyFont="1" applyFill="1" applyBorder="1" applyAlignment="1">
      <alignment horizontal="center" vertical="center"/>
    </xf>
    <xf numFmtId="4" fontId="4" fillId="4" borderId="11" xfId="1" applyNumberFormat="1" applyFont="1" applyFill="1" applyBorder="1" applyAlignment="1">
      <alignment horizontal="center" vertical="center"/>
    </xf>
    <xf numFmtId="4" fontId="4" fillId="9" borderId="11" xfId="1" applyNumberFormat="1" applyFont="1" applyFill="1" applyBorder="1" applyAlignment="1">
      <alignment horizontal="center" vertical="center"/>
    </xf>
    <xf numFmtId="4" fontId="4" fillId="9" borderId="11" xfId="1" applyNumberFormat="1" applyFont="1" applyFill="1" applyBorder="1" applyAlignment="1">
      <alignment horizontal="center" vertical="center" wrapText="1"/>
    </xf>
    <xf numFmtId="4" fontId="4" fillId="8" borderId="1" xfId="1" applyNumberFormat="1" applyFont="1" applyFill="1" applyBorder="1" applyAlignment="1">
      <alignment horizontal="center" vertical="center"/>
    </xf>
    <xf numFmtId="4" fontId="4" fillId="0" borderId="1" xfId="1" applyNumberFormat="1" applyFont="1" applyBorder="1" applyAlignment="1">
      <alignment horizontal="center" vertical="center"/>
    </xf>
    <xf numFmtId="4" fontId="9" fillId="8" borderId="1" xfId="1" applyNumberFormat="1" applyFont="1" applyFill="1" applyBorder="1" applyAlignment="1">
      <alignment horizontal="center" vertical="center"/>
    </xf>
    <xf numFmtId="4" fontId="9" fillId="0" borderId="1" xfId="1" applyNumberFormat="1" applyFont="1" applyBorder="1" applyAlignment="1">
      <alignment horizontal="center" vertical="center"/>
    </xf>
    <xf numFmtId="4" fontId="15" fillId="8" borderId="1" xfId="1" applyNumberFormat="1" applyFont="1" applyFill="1" applyBorder="1" applyAlignment="1">
      <alignment horizontal="center" vertical="center"/>
    </xf>
    <xf numFmtId="4" fontId="15" fillId="0" borderId="1" xfId="1" applyNumberFormat="1" applyFont="1" applyBorder="1" applyAlignment="1">
      <alignment horizontal="center" vertical="center"/>
    </xf>
    <xf numFmtId="14" fontId="4" fillId="9" borderId="2" xfId="1" applyNumberFormat="1" applyFont="1" applyFill="1" applyBorder="1" applyAlignment="1">
      <alignment horizontal="center" vertical="center"/>
    </xf>
    <xf numFmtId="0" fontId="8" fillId="13" borderId="1" xfId="1" applyFont="1" applyFill="1" applyBorder="1" applyAlignment="1">
      <alignment horizontal="center" vertical="center"/>
    </xf>
    <xf numFmtId="4" fontId="8" fillId="14" borderId="1" xfId="1" applyNumberFormat="1" applyFont="1" applyFill="1" applyBorder="1" applyAlignment="1">
      <alignment horizontal="center" vertical="center"/>
    </xf>
    <xf numFmtId="4" fontId="8" fillId="13" borderId="1" xfId="1" applyNumberFormat="1" applyFont="1" applyFill="1" applyBorder="1" applyAlignment="1">
      <alignment horizontal="center" vertical="center"/>
    </xf>
    <xf numFmtId="14" fontId="8" fillId="13" borderId="3" xfId="1" applyNumberFormat="1" applyFont="1" applyFill="1" applyBorder="1" applyAlignment="1">
      <alignment horizontal="center" vertical="center"/>
    </xf>
    <xf numFmtId="166" fontId="8" fillId="14" borderId="1" xfId="1" applyNumberFormat="1" applyFont="1" applyFill="1" applyBorder="1" applyAlignment="1">
      <alignment horizontal="center" vertical="center"/>
    </xf>
    <xf numFmtId="166" fontId="8" fillId="13" borderId="1" xfId="1" applyNumberFormat="1" applyFont="1" applyFill="1" applyBorder="1" applyAlignment="1">
      <alignment horizontal="center" vertical="center"/>
    </xf>
    <xf numFmtId="4" fontId="8" fillId="8" borderId="1" xfId="1" applyNumberFormat="1" applyFont="1" applyFill="1" applyBorder="1" applyAlignment="1">
      <alignment horizontal="center" vertical="center"/>
    </xf>
    <xf numFmtId="4" fontId="8" fillId="0" borderId="1" xfId="1" applyNumberFormat="1" applyFont="1" applyBorder="1" applyAlignment="1">
      <alignment horizontal="center" vertical="center"/>
    </xf>
    <xf numFmtId="14" fontId="18" fillId="3" borderId="1" xfId="1" applyNumberFormat="1" applyFont="1" applyFill="1" applyBorder="1" applyAlignment="1">
      <alignment horizontal="center" vertical="center"/>
    </xf>
    <xf numFmtId="14" fontId="8" fillId="3" borderId="1" xfId="1" applyNumberFormat="1" applyFont="1" applyFill="1" applyBorder="1" applyAlignment="1">
      <alignment horizontal="center" vertical="center"/>
    </xf>
    <xf numFmtId="14" fontId="8" fillId="12" borderId="1" xfId="1" applyNumberFormat="1" applyFont="1" applyFill="1" applyBorder="1" applyAlignment="1">
      <alignment horizontal="center"/>
    </xf>
    <xf numFmtId="14" fontId="8" fillId="0" borderId="1" xfId="1" applyNumberFormat="1" applyFont="1" applyBorder="1" applyAlignment="1">
      <alignment horizontal="center"/>
    </xf>
    <xf numFmtId="14" fontId="18" fillId="0" borderId="1" xfId="1" applyNumberFormat="1" applyFont="1" applyBorder="1"/>
    <xf numFmtId="14" fontId="18" fillId="0" borderId="0" xfId="1" applyNumberFormat="1" applyFont="1"/>
    <xf numFmtId="0" fontId="2" fillId="0" borderId="0" xfId="1" applyAlignment="1">
      <alignment vertical="center"/>
    </xf>
    <xf numFmtId="14" fontId="1" fillId="4" borderId="1" xfId="0" applyNumberFormat="1" applyFont="1" applyFill="1" applyBorder="1" applyAlignment="1">
      <alignment horizontal="center" vertical="center"/>
    </xf>
    <xf numFmtId="14" fontId="4" fillId="9" borderId="3" xfId="1" applyNumberFormat="1" applyFont="1" applyFill="1" applyBorder="1" applyAlignment="1">
      <alignment horizontal="center" vertical="center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3" fontId="1" fillId="4" borderId="9" xfId="0" applyNumberFormat="1" applyFont="1" applyFill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top"/>
    </xf>
    <xf numFmtId="0" fontId="16" fillId="4" borderId="4" xfId="0" applyFont="1" applyFill="1" applyBorder="1" applyAlignment="1">
      <alignment horizontal="center" vertical="top"/>
    </xf>
    <xf numFmtId="0" fontId="17" fillId="0" borderId="4" xfId="0" applyFont="1" applyBorder="1" applyAlignment="1">
      <alignment horizontal="center" vertical="top"/>
    </xf>
    <xf numFmtId="0" fontId="17" fillId="0" borderId="3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4" fontId="1" fillId="4" borderId="2" xfId="0" applyNumberFormat="1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4" borderId="3" xfId="0" applyNumberForma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4" fontId="1" fillId="7" borderId="0" xfId="0" applyNumberFormat="1" applyFont="1" applyFill="1" applyAlignment="1">
      <alignment horizontal="center" vertical="center"/>
    </xf>
    <xf numFmtId="4" fontId="0" fillId="7" borderId="22" xfId="0" applyNumberFormat="1" applyFill="1" applyBorder="1"/>
    <xf numFmtId="4" fontId="1" fillId="2" borderId="19" xfId="0" applyNumberFormat="1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4" fontId="1" fillId="7" borderId="19" xfId="0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4" fillId="9" borderId="2" xfId="1" applyFont="1" applyFill="1" applyBorder="1" applyAlignment="1">
      <alignment horizontal="center" vertical="center"/>
    </xf>
    <xf numFmtId="0" fontId="4" fillId="9" borderId="4" xfId="1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0" fillId="0" borderId="0" xfId="0"/>
    <xf numFmtId="0" fontId="0" fillId="9" borderId="4" xfId="0" applyFill="1" applyBorder="1"/>
    <xf numFmtId="0" fontId="0" fillId="9" borderId="3" xfId="0" applyFill="1" applyBorder="1"/>
    <xf numFmtId="0" fontId="4" fillId="2" borderId="0" xfId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11" fillId="3" borderId="4" xfId="1" applyFont="1" applyFill="1" applyBorder="1" applyAlignment="1">
      <alignment horizontal="center" vertical="center"/>
    </xf>
    <xf numFmtId="0" fontId="4" fillId="6" borderId="14" xfId="1" applyFont="1" applyFill="1" applyBorder="1" applyAlignment="1">
      <alignment horizontal="center" vertical="center"/>
    </xf>
    <xf numFmtId="0" fontId="4" fillId="6" borderId="5" xfId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</cellXfs>
  <cellStyles count="3">
    <cellStyle name="Normal" xfId="0" builtinId="0"/>
    <cellStyle name="Normal 2 2" xfId="1" xr:uid="{4359C65D-B749-425E-B92D-AB77CCAE427D}"/>
    <cellStyle name="Normal 3" xfId="2" xr:uid="{D4B26F05-072A-40C8-AAD4-4DFE4F5B13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A1BA1-0578-4925-A5DC-16CB160DC227}">
  <dimension ref="A2:K25"/>
  <sheetViews>
    <sheetView tabSelected="1" workbookViewId="0">
      <selection activeCell="D7" sqref="D7"/>
    </sheetView>
  </sheetViews>
  <sheetFormatPr defaultRowHeight="15"/>
  <cols>
    <col min="1" max="1" width="22.85546875" customWidth="1"/>
    <col min="2" max="2" width="12.85546875" customWidth="1"/>
    <col min="3" max="3" width="3.140625" customWidth="1"/>
    <col min="4" max="4" width="22.85546875" customWidth="1"/>
    <col min="5" max="5" width="12.85546875" customWidth="1"/>
    <col min="6" max="6" width="4.5703125" customWidth="1"/>
    <col min="7" max="9" width="10.85546875" customWidth="1"/>
  </cols>
  <sheetData>
    <row r="2" spans="1:11" ht="26.25">
      <c r="A2" s="35" t="s">
        <v>17</v>
      </c>
      <c r="B2" s="113" t="s">
        <v>56</v>
      </c>
      <c r="C2" s="114"/>
      <c r="D2" s="114"/>
      <c r="E2" s="115"/>
      <c r="F2" s="116"/>
    </row>
    <row r="3" spans="1:11">
      <c r="A3" s="35" t="s">
        <v>18</v>
      </c>
      <c r="B3" s="104" t="s">
        <v>53</v>
      </c>
      <c r="C3" s="105"/>
      <c r="D3" s="105"/>
      <c r="E3" s="105"/>
      <c r="F3" s="106"/>
      <c r="G3" s="35"/>
      <c r="H3" s="35"/>
      <c r="I3" s="35"/>
    </row>
    <row r="4" spans="1:11">
      <c r="A4" s="35" t="s">
        <v>19</v>
      </c>
      <c r="B4" s="119">
        <v>45898</v>
      </c>
      <c r="C4" s="120"/>
      <c r="D4" s="73" t="s">
        <v>51</v>
      </c>
      <c r="E4" s="119">
        <v>46262</v>
      </c>
      <c r="F4" s="121"/>
    </row>
    <row r="6" spans="1:11">
      <c r="A6" s="35" t="s">
        <v>52</v>
      </c>
      <c r="B6" s="100">
        <v>46235</v>
      </c>
    </row>
    <row r="7" spans="1:11" ht="15.75" thickBot="1"/>
    <row r="8" spans="1:11">
      <c r="A8" s="117" t="s">
        <v>45</v>
      </c>
      <c r="B8" s="118"/>
      <c r="D8" s="117" t="s">
        <v>47</v>
      </c>
      <c r="E8" s="118"/>
    </row>
    <row r="9" spans="1:11">
      <c r="A9" s="39" t="s">
        <v>43</v>
      </c>
      <c r="B9" s="74">
        <f>B4</f>
        <v>45898</v>
      </c>
      <c r="D9" s="39" t="s">
        <v>43</v>
      </c>
      <c r="E9" s="74">
        <f>B10</f>
        <v>46235</v>
      </c>
    </row>
    <row r="10" spans="1:11">
      <c r="A10" s="39" t="s">
        <v>44</v>
      </c>
      <c r="B10" s="74">
        <f>B6</f>
        <v>46235</v>
      </c>
      <c r="D10" s="39" t="s">
        <v>44</v>
      </c>
      <c r="E10" s="74">
        <f>E4+1</f>
        <v>46263</v>
      </c>
    </row>
    <row r="11" spans="1:11">
      <c r="A11" s="39" t="s">
        <v>46</v>
      </c>
      <c r="B11" s="43">
        <f>B10-B9</f>
        <v>337</v>
      </c>
      <c r="D11" s="39" t="s">
        <v>46</v>
      </c>
      <c r="E11" s="43">
        <f>E10-E9</f>
        <v>28</v>
      </c>
    </row>
    <row r="12" spans="1:11">
      <c r="A12" s="41" t="s">
        <v>21</v>
      </c>
      <c r="B12" s="44">
        <v>5.91</v>
      </c>
      <c r="D12" s="41" t="s">
        <v>21</v>
      </c>
      <c r="E12" s="44">
        <v>5.91</v>
      </c>
    </row>
    <row r="13" spans="1:11">
      <c r="A13" s="41" t="s">
        <v>13</v>
      </c>
      <c r="B13" s="44">
        <v>2.56</v>
      </c>
      <c r="D13" s="41" t="s">
        <v>13</v>
      </c>
      <c r="E13" s="44">
        <v>2.56</v>
      </c>
      <c r="G13" s="35"/>
      <c r="H13" s="35"/>
      <c r="I13" s="35"/>
      <c r="J13" s="55"/>
      <c r="K13" s="55"/>
    </row>
    <row r="14" spans="1:11">
      <c r="A14" s="41" t="s">
        <v>20</v>
      </c>
      <c r="B14" s="49">
        <f>B12+B13</f>
        <v>8.4700000000000006</v>
      </c>
      <c r="D14" s="41" t="s">
        <v>20</v>
      </c>
      <c r="E14" s="49">
        <f>E12+E13</f>
        <v>8.4700000000000006</v>
      </c>
      <c r="G14" s="107" t="s">
        <v>22</v>
      </c>
      <c r="H14" s="108"/>
      <c r="I14" s="108"/>
      <c r="J14" s="111">
        <f>Sheet1!D10</f>
        <v>291.36800000000005</v>
      </c>
      <c r="K14" s="112"/>
    </row>
    <row r="15" spans="1:11">
      <c r="A15" s="50"/>
      <c r="B15" s="40"/>
      <c r="D15" s="50"/>
      <c r="E15" s="40"/>
      <c r="G15" s="56"/>
      <c r="H15" s="45"/>
      <c r="I15" s="45"/>
      <c r="J15" s="46" t="s">
        <v>15</v>
      </c>
      <c r="K15" s="57" t="s">
        <v>16</v>
      </c>
    </row>
    <row r="16" spans="1:11">
      <c r="A16" s="41" t="s">
        <v>48</v>
      </c>
      <c r="B16" s="51">
        <f>J14*(B11/365)</f>
        <v>269.01648219178088</v>
      </c>
      <c r="D16" s="41" t="s">
        <v>48</v>
      </c>
      <c r="E16" s="51">
        <f>J14*(E11/365)</f>
        <v>22.351517808219182</v>
      </c>
      <c r="G16" s="109" t="s">
        <v>40</v>
      </c>
      <c r="H16" s="110"/>
      <c r="I16" s="110"/>
      <c r="J16" s="47">
        <f>B17+E17</f>
        <v>203.30400000000003</v>
      </c>
      <c r="K16" s="58">
        <f>B18+E18</f>
        <v>88.064000000000007</v>
      </c>
    </row>
    <row r="17" spans="1:11">
      <c r="A17" s="41" t="s">
        <v>15</v>
      </c>
      <c r="B17" s="51">
        <f>B16*(B12/B14)</f>
        <v>187.70807671232879</v>
      </c>
      <c r="D17" s="41" t="s">
        <v>15</v>
      </c>
      <c r="E17" s="51">
        <f>E16*(E12/E14)</f>
        <v>15.595923287671235</v>
      </c>
      <c r="G17" s="109" t="s">
        <v>23</v>
      </c>
      <c r="H17" s="110"/>
      <c r="I17" s="110"/>
      <c r="J17" s="36">
        <v>41.25</v>
      </c>
      <c r="K17" s="59"/>
    </row>
    <row r="18" spans="1:11" ht="15.75" thickBot="1">
      <c r="A18" s="42" t="s">
        <v>16</v>
      </c>
      <c r="B18" s="52">
        <f>B16*(B13/B14)</f>
        <v>81.308405479452063</v>
      </c>
      <c r="D18" s="42" t="s">
        <v>16</v>
      </c>
      <c r="E18" s="52">
        <f>E16*(E13/E14)</f>
        <v>6.7555945205479455</v>
      </c>
      <c r="G18" s="122" t="s">
        <v>24</v>
      </c>
      <c r="H18" s="123"/>
      <c r="I18" s="123"/>
      <c r="J18" s="60">
        <f>J16+J17</f>
        <v>244.55400000000003</v>
      </c>
      <c r="K18" s="61">
        <f>K16+K17</f>
        <v>88.064000000000007</v>
      </c>
    </row>
    <row r="20" spans="1:11" ht="15.75" thickBot="1">
      <c r="A20" s="124" t="s">
        <v>33</v>
      </c>
      <c r="B20" s="125"/>
      <c r="C20" s="125"/>
      <c r="D20" s="125"/>
      <c r="E20" s="125"/>
      <c r="F20" s="125"/>
      <c r="G20" s="125"/>
      <c r="H20" s="125"/>
      <c r="I20" s="125"/>
      <c r="J20" s="126"/>
      <c r="K20" s="126"/>
    </row>
    <row r="21" spans="1:11">
      <c r="A21" s="48" t="s">
        <v>34</v>
      </c>
      <c r="B21" s="69">
        <f>COUNTA('Annual Leave Log'!C16:C43)+COUNTA('Annual Leave Log'!C14:C75)</f>
        <v>24</v>
      </c>
      <c r="C21" s="37"/>
      <c r="E21" s="70"/>
      <c r="F21" s="71"/>
      <c r="G21" s="72" t="s">
        <v>15</v>
      </c>
      <c r="H21" s="38" t="s">
        <v>16</v>
      </c>
    </row>
    <row r="22" spans="1:11">
      <c r="A22" s="48" t="s">
        <v>35</v>
      </c>
      <c r="B22" s="69">
        <f>COUNTA('Annual Leave Log'!E16:E43)+COUNTA('Annual Leave Log'!E14:E75)</f>
        <v>24</v>
      </c>
      <c r="C22" s="37"/>
      <c r="E22" s="134" t="s">
        <v>41</v>
      </c>
      <c r="F22" s="135"/>
      <c r="G22" s="127">
        <f>'Annual Leave Log'!M46+'Annual Leave Log'!M81</f>
        <v>229.5</v>
      </c>
      <c r="H22" s="130">
        <f>'Annual Leave Log'!N46+'Annual Leave Log'!N81</f>
        <v>18</v>
      </c>
    </row>
    <row r="23" spans="1:11">
      <c r="A23" s="48" t="s">
        <v>36</v>
      </c>
      <c r="B23" s="69">
        <f>COUNTA('Annual Leave Log'!G16:G43)+COUNTA('Annual Leave Log'!G14:G75)</f>
        <v>24</v>
      </c>
      <c r="C23" s="37"/>
      <c r="E23" s="134"/>
      <c r="F23" s="135"/>
      <c r="G23" s="127"/>
      <c r="H23" s="131"/>
    </row>
    <row r="24" spans="1:11">
      <c r="A24" s="48" t="s">
        <v>37</v>
      </c>
      <c r="B24" s="69">
        <f>COUNTA('Annual Leave Log'!I16:I43)+COUNTA('Annual Leave Log'!I14:I75)</f>
        <v>2</v>
      </c>
      <c r="C24" s="37"/>
      <c r="E24" s="134" t="s">
        <v>42</v>
      </c>
      <c r="F24" s="136"/>
      <c r="G24" s="128">
        <f>J18-G22</f>
        <v>15.05400000000003</v>
      </c>
      <c r="H24" s="132">
        <f>K18-H22</f>
        <v>70.064000000000007</v>
      </c>
    </row>
    <row r="25" spans="1:11" ht="15.75" thickBot="1">
      <c r="A25" s="48" t="s">
        <v>38</v>
      </c>
      <c r="B25" s="69">
        <f>COUNTA('Annual Leave Log'!K16:K43)+COUNTA('Annual Leave Log'!K14:K75)</f>
        <v>2</v>
      </c>
      <c r="C25" s="37"/>
      <c r="E25" s="137"/>
      <c r="F25" s="138"/>
      <c r="G25" s="129"/>
      <c r="H25" s="133"/>
    </row>
  </sheetData>
  <mergeCells count="18">
    <mergeCell ref="G18:I18"/>
    <mergeCell ref="G16:I16"/>
    <mergeCell ref="A20:K20"/>
    <mergeCell ref="G22:G23"/>
    <mergeCell ref="G24:G25"/>
    <mergeCell ref="H22:H23"/>
    <mergeCell ref="H24:H25"/>
    <mergeCell ref="E22:F23"/>
    <mergeCell ref="E24:F25"/>
    <mergeCell ref="B3:F3"/>
    <mergeCell ref="G14:I14"/>
    <mergeCell ref="G17:I17"/>
    <mergeCell ref="J14:K14"/>
    <mergeCell ref="B2:F2"/>
    <mergeCell ref="A8:B8"/>
    <mergeCell ref="D8:E8"/>
    <mergeCell ref="B4:C4"/>
    <mergeCell ref="E4:F4"/>
  </mergeCells>
  <pageMargins left="0.7" right="0.7" top="0.75" bottom="0.75" header="0.3" footer="0.3"/>
  <pageSetup paperSize="9" orientation="portrait" r:id="rId1"/>
  <ignoredErrors>
    <ignoredError sqref="B21:B2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06AB4-364B-4D4B-926B-EA9A5329A26F}">
  <dimension ref="A1:S81"/>
  <sheetViews>
    <sheetView workbookViewId="0">
      <selection activeCell="H47" sqref="H47"/>
    </sheetView>
  </sheetViews>
  <sheetFormatPr defaultRowHeight="12.75"/>
  <cols>
    <col min="1" max="1" width="15.140625" style="2" customWidth="1"/>
    <col min="2" max="2" width="15.85546875" style="2" customWidth="1"/>
    <col min="3" max="12" width="8.42578125" style="2" customWidth="1"/>
    <col min="13" max="14" width="10.85546875" style="2" customWidth="1"/>
    <col min="15" max="15" width="5.140625" style="2" customWidth="1"/>
    <col min="16" max="257" width="8.85546875" style="2"/>
    <col min="258" max="258" width="10.85546875" style="2" customWidth="1"/>
    <col min="259" max="261" width="8.85546875" style="2"/>
    <col min="262" max="262" width="2.85546875" style="2" customWidth="1"/>
    <col min="263" max="513" width="8.85546875" style="2"/>
    <col min="514" max="514" width="10.85546875" style="2" customWidth="1"/>
    <col min="515" max="517" width="8.85546875" style="2"/>
    <col min="518" max="518" width="2.85546875" style="2" customWidth="1"/>
    <col min="519" max="769" width="8.85546875" style="2"/>
    <col min="770" max="770" width="10.85546875" style="2" customWidth="1"/>
    <col min="771" max="773" width="8.85546875" style="2"/>
    <col min="774" max="774" width="2.85546875" style="2" customWidth="1"/>
    <col min="775" max="1025" width="8.85546875" style="2"/>
    <col min="1026" max="1026" width="10.85546875" style="2" customWidth="1"/>
    <col min="1027" max="1029" width="8.85546875" style="2"/>
    <col min="1030" max="1030" width="2.85546875" style="2" customWidth="1"/>
    <col min="1031" max="1281" width="8.85546875" style="2"/>
    <col min="1282" max="1282" width="10.85546875" style="2" customWidth="1"/>
    <col min="1283" max="1285" width="8.85546875" style="2"/>
    <col min="1286" max="1286" width="2.85546875" style="2" customWidth="1"/>
    <col min="1287" max="1537" width="8.85546875" style="2"/>
    <col min="1538" max="1538" width="10.85546875" style="2" customWidth="1"/>
    <col min="1539" max="1541" width="8.85546875" style="2"/>
    <col min="1542" max="1542" width="2.85546875" style="2" customWidth="1"/>
    <col min="1543" max="1793" width="8.85546875" style="2"/>
    <col min="1794" max="1794" width="10.85546875" style="2" customWidth="1"/>
    <col min="1795" max="1797" width="8.85546875" style="2"/>
    <col min="1798" max="1798" width="2.85546875" style="2" customWidth="1"/>
    <col min="1799" max="2049" width="8.85546875" style="2"/>
    <col min="2050" max="2050" width="10.85546875" style="2" customWidth="1"/>
    <col min="2051" max="2053" width="8.85546875" style="2"/>
    <col min="2054" max="2054" width="2.85546875" style="2" customWidth="1"/>
    <col min="2055" max="2305" width="8.85546875" style="2"/>
    <col min="2306" max="2306" width="10.85546875" style="2" customWidth="1"/>
    <col min="2307" max="2309" width="8.85546875" style="2"/>
    <col min="2310" max="2310" width="2.85546875" style="2" customWidth="1"/>
    <col min="2311" max="2561" width="8.85546875" style="2"/>
    <col min="2562" max="2562" width="10.85546875" style="2" customWidth="1"/>
    <col min="2563" max="2565" width="8.85546875" style="2"/>
    <col min="2566" max="2566" width="2.85546875" style="2" customWidth="1"/>
    <col min="2567" max="2817" width="8.85546875" style="2"/>
    <col min="2818" max="2818" width="10.85546875" style="2" customWidth="1"/>
    <col min="2819" max="2821" width="8.85546875" style="2"/>
    <col min="2822" max="2822" width="2.85546875" style="2" customWidth="1"/>
    <col min="2823" max="3073" width="8.85546875" style="2"/>
    <col min="3074" max="3074" width="10.85546875" style="2" customWidth="1"/>
    <col min="3075" max="3077" width="8.85546875" style="2"/>
    <col min="3078" max="3078" width="2.85546875" style="2" customWidth="1"/>
    <col min="3079" max="3329" width="8.85546875" style="2"/>
    <col min="3330" max="3330" width="10.85546875" style="2" customWidth="1"/>
    <col min="3331" max="3333" width="8.85546875" style="2"/>
    <col min="3334" max="3334" width="2.85546875" style="2" customWidth="1"/>
    <col min="3335" max="3585" width="8.85546875" style="2"/>
    <col min="3586" max="3586" width="10.85546875" style="2" customWidth="1"/>
    <col min="3587" max="3589" width="8.85546875" style="2"/>
    <col min="3590" max="3590" width="2.85546875" style="2" customWidth="1"/>
    <col min="3591" max="3841" width="8.85546875" style="2"/>
    <col min="3842" max="3842" width="10.85546875" style="2" customWidth="1"/>
    <col min="3843" max="3845" width="8.85546875" style="2"/>
    <col min="3846" max="3846" width="2.85546875" style="2" customWidth="1"/>
    <col min="3847" max="4097" width="8.85546875" style="2"/>
    <col min="4098" max="4098" width="10.85546875" style="2" customWidth="1"/>
    <col min="4099" max="4101" width="8.85546875" style="2"/>
    <col min="4102" max="4102" width="2.85546875" style="2" customWidth="1"/>
    <col min="4103" max="4353" width="8.85546875" style="2"/>
    <col min="4354" max="4354" width="10.85546875" style="2" customWidth="1"/>
    <col min="4355" max="4357" width="8.85546875" style="2"/>
    <col min="4358" max="4358" width="2.85546875" style="2" customWidth="1"/>
    <col min="4359" max="4609" width="8.85546875" style="2"/>
    <col min="4610" max="4610" width="10.85546875" style="2" customWidth="1"/>
    <col min="4611" max="4613" width="8.85546875" style="2"/>
    <col min="4614" max="4614" width="2.85546875" style="2" customWidth="1"/>
    <col min="4615" max="4865" width="8.85546875" style="2"/>
    <col min="4866" max="4866" width="10.85546875" style="2" customWidth="1"/>
    <col min="4867" max="4869" width="8.85546875" style="2"/>
    <col min="4870" max="4870" width="2.85546875" style="2" customWidth="1"/>
    <col min="4871" max="5121" width="8.85546875" style="2"/>
    <col min="5122" max="5122" width="10.85546875" style="2" customWidth="1"/>
    <col min="5123" max="5125" width="8.85546875" style="2"/>
    <col min="5126" max="5126" width="2.85546875" style="2" customWidth="1"/>
    <col min="5127" max="5377" width="8.85546875" style="2"/>
    <col min="5378" max="5378" width="10.85546875" style="2" customWidth="1"/>
    <col min="5379" max="5381" width="8.85546875" style="2"/>
    <col min="5382" max="5382" width="2.85546875" style="2" customWidth="1"/>
    <col min="5383" max="5633" width="8.85546875" style="2"/>
    <col min="5634" max="5634" width="10.85546875" style="2" customWidth="1"/>
    <col min="5635" max="5637" width="8.85546875" style="2"/>
    <col min="5638" max="5638" width="2.85546875" style="2" customWidth="1"/>
    <col min="5639" max="5889" width="8.85546875" style="2"/>
    <col min="5890" max="5890" width="10.85546875" style="2" customWidth="1"/>
    <col min="5891" max="5893" width="8.85546875" style="2"/>
    <col min="5894" max="5894" width="2.85546875" style="2" customWidth="1"/>
    <col min="5895" max="6145" width="8.85546875" style="2"/>
    <col min="6146" max="6146" width="10.85546875" style="2" customWidth="1"/>
    <col min="6147" max="6149" width="8.85546875" style="2"/>
    <col min="6150" max="6150" width="2.85546875" style="2" customWidth="1"/>
    <col min="6151" max="6401" width="8.85546875" style="2"/>
    <col min="6402" max="6402" width="10.85546875" style="2" customWidth="1"/>
    <col min="6403" max="6405" width="8.85546875" style="2"/>
    <col min="6406" max="6406" width="2.85546875" style="2" customWidth="1"/>
    <col min="6407" max="6657" width="8.85546875" style="2"/>
    <col min="6658" max="6658" width="10.85546875" style="2" customWidth="1"/>
    <col min="6659" max="6661" width="8.85546875" style="2"/>
    <col min="6662" max="6662" width="2.85546875" style="2" customWidth="1"/>
    <col min="6663" max="6913" width="8.85546875" style="2"/>
    <col min="6914" max="6914" width="10.85546875" style="2" customWidth="1"/>
    <col min="6915" max="6917" width="8.85546875" style="2"/>
    <col min="6918" max="6918" width="2.85546875" style="2" customWidth="1"/>
    <col min="6919" max="7169" width="8.85546875" style="2"/>
    <col min="7170" max="7170" width="10.85546875" style="2" customWidth="1"/>
    <col min="7171" max="7173" width="8.85546875" style="2"/>
    <col min="7174" max="7174" width="2.85546875" style="2" customWidth="1"/>
    <col min="7175" max="7425" width="8.85546875" style="2"/>
    <col min="7426" max="7426" width="10.85546875" style="2" customWidth="1"/>
    <col min="7427" max="7429" width="8.85546875" style="2"/>
    <col min="7430" max="7430" width="2.85546875" style="2" customWidth="1"/>
    <col min="7431" max="7681" width="8.85546875" style="2"/>
    <col min="7682" max="7682" width="10.85546875" style="2" customWidth="1"/>
    <col min="7683" max="7685" width="8.85546875" style="2"/>
    <col min="7686" max="7686" width="2.85546875" style="2" customWidth="1"/>
    <col min="7687" max="7937" width="8.85546875" style="2"/>
    <col min="7938" max="7938" width="10.85546875" style="2" customWidth="1"/>
    <col min="7939" max="7941" width="8.85546875" style="2"/>
    <col min="7942" max="7942" width="2.85546875" style="2" customWidth="1"/>
    <col min="7943" max="8193" width="8.85546875" style="2"/>
    <col min="8194" max="8194" width="10.85546875" style="2" customWidth="1"/>
    <col min="8195" max="8197" width="8.85546875" style="2"/>
    <col min="8198" max="8198" width="2.85546875" style="2" customWidth="1"/>
    <col min="8199" max="8449" width="8.85546875" style="2"/>
    <col min="8450" max="8450" width="10.85546875" style="2" customWidth="1"/>
    <col min="8451" max="8453" width="8.85546875" style="2"/>
    <col min="8454" max="8454" width="2.85546875" style="2" customWidth="1"/>
    <col min="8455" max="8705" width="8.85546875" style="2"/>
    <col min="8706" max="8706" width="10.85546875" style="2" customWidth="1"/>
    <col min="8707" max="8709" width="8.85546875" style="2"/>
    <col min="8710" max="8710" width="2.85546875" style="2" customWidth="1"/>
    <col min="8711" max="8961" width="8.85546875" style="2"/>
    <col min="8962" max="8962" width="10.85546875" style="2" customWidth="1"/>
    <col min="8963" max="8965" width="8.85546875" style="2"/>
    <col min="8966" max="8966" width="2.85546875" style="2" customWidth="1"/>
    <col min="8967" max="9217" width="8.85546875" style="2"/>
    <col min="9218" max="9218" width="10.85546875" style="2" customWidth="1"/>
    <col min="9219" max="9221" width="8.85546875" style="2"/>
    <col min="9222" max="9222" width="2.85546875" style="2" customWidth="1"/>
    <col min="9223" max="9473" width="8.85546875" style="2"/>
    <col min="9474" max="9474" width="10.85546875" style="2" customWidth="1"/>
    <col min="9475" max="9477" width="8.85546875" style="2"/>
    <col min="9478" max="9478" width="2.85546875" style="2" customWidth="1"/>
    <col min="9479" max="9729" width="8.85546875" style="2"/>
    <col min="9730" max="9730" width="10.85546875" style="2" customWidth="1"/>
    <col min="9731" max="9733" width="8.85546875" style="2"/>
    <col min="9734" max="9734" width="2.85546875" style="2" customWidth="1"/>
    <col min="9735" max="9985" width="8.85546875" style="2"/>
    <col min="9986" max="9986" width="10.85546875" style="2" customWidth="1"/>
    <col min="9987" max="9989" width="8.85546875" style="2"/>
    <col min="9990" max="9990" width="2.85546875" style="2" customWidth="1"/>
    <col min="9991" max="10241" width="8.85546875" style="2"/>
    <col min="10242" max="10242" width="10.85546875" style="2" customWidth="1"/>
    <col min="10243" max="10245" width="8.85546875" style="2"/>
    <col min="10246" max="10246" width="2.85546875" style="2" customWidth="1"/>
    <col min="10247" max="10497" width="8.85546875" style="2"/>
    <col min="10498" max="10498" width="10.85546875" style="2" customWidth="1"/>
    <col min="10499" max="10501" width="8.85546875" style="2"/>
    <col min="10502" max="10502" width="2.85546875" style="2" customWidth="1"/>
    <col min="10503" max="10753" width="8.85546875" style="2"/>
    <col min="10754" max="10754" width="10.85546875" style="2" customWidth="1"/>
    <col min="10755" max="10757" width="8.85546875" style="2"/>
    <col min="10758" max="10758" width="2.85546875" style="2" customWidth="1"/>
    <col min="10759" max="11009" width="8.85546875" style="2"/>
    <col min="11010" max="11010" width="10.85546875" style="2" customWidth="1"/>
    <col min="11011" max="11013" width="8.85546875" style="2"/>
    <col min="11014" max="11014" width="2.85546875" style="2" customWidth="1"/>
    <col min="11015" max="11265" width="8.85546875" style="2"/>
    <col min="11266" max="11266" width="10.85546875" style="2" customWidth="1"/>
    <col min="11267" max="11269" width="8.85546875" style="2"/>
    <col min="11270" max="11270" width="2.85546875" style="2" customWidth="1"/>
    <col min="11271" max="11521" width="8.85546875" style="2"/>
    <col min="11522" max="11522" width="10.85546875" style="2" customWidth="1"/>
    <col min="11523" max="11525" width="8.85546875" style="2"/>
    <col min="11526" max="11526" width="2.85546875" style="2" customWidth="1"/>
    <col min="11527" max="11777" width="8.85546875" style="2"/>
    <col min="11778" max="11778" width="10.85546875" style="2" customWidth="1"/>
    <col min="11779" max="11781" width="8.85546875" style="2"/>
    <col min="11782" max="11782" width="2.85546875" style="2" customWidth="1"/>
    <col min="11783" max="12033" width="8.85546875" style="2"/>
    <col min="12034" max="12034" width="10.85546875" style="2" customWidth="1"/>
    <col min="12035" max="12037" width="8.85546875" style="2"/>
    <col min="12038" max="12038" width="2.85546875" style="2" customWidth="1"/>
    <col min="12039" max="12289" width="8.85546875" style="2"/>
    <col min="12290" max="12290" width="10.85546875" style="2" customWidth="1"/>
    <col min="12291" max="12293" width="8.85546875" style="2"/>
    <col min="12294" max="12294" width="2.85546875" style="2" customWidth="1"/>
    <col min="12295" max="12545" width="8.85546875" style="2"/>
    <col min="12546" max="12546" width="10.85546875" style="2" customWidth="1"/>
    <col min="12547" max="12549" width="8.85546875" style="2"/>
    <col min="12550" max="12550" width="2.85546875" style="2" customWidth="1"/>
    <col min="12551" max="12801" width="8.85546875" style="2"/>
    <col min="12802" max="12802" width="10.85546875" style="2" customWidth="1"/>
    <col min="12803" max="12805" width="8.85546875" style="2"/>
    <col min="12806" max="12806" width="2.85546875" style="2" customWidth="1"/>
    <col min="12807" max="13057" width="8.85546875" style="2"/>
    <col min="13058" max="13058" width="10.85546875" style="2" customWidth="1"/>
    <col min="13059" max="13061" width="8.85546875" style="2"/>
    <col min="13062" max="13062" width="2.85546875" style="2" customWidth="1"/>
    <col min="13063" max="13313" width="8.85546875" style="2"/>
    <col min="13314" max="13314" width="10.85546875" style="2" customWidth="1"/>
    <col min="13315" max="13317" width="8.85546875" style="2"/>
    <col min="13318" max="13318" width="2.85546875" style="2" customWidth="1"/>
    <col min="13319" max="13569" width="8.85546875" style="2"/>
    <col min="13570" max="13570" width="10.85546875" style="2" customWidth="1"/>
    <col min="13571" max="13573" width="8.85546875" style="2"/>
    <col min="13574" max="13574" width="2.85546875" style="2" customWidth="1"/>
    <col min="13575" max="13825" width="8.85546875" style="2"/>
    <col min="13826" max="13826" width="10.85546875" style="2" customWidth="1"/>
    <col min="13827" max="13829" width="8.85546875" style="2"/>
    <col min="13830" max="13830" width="2.85546875" style="2" customWidth="1"/>
    <col min="13831" max="14081" width="8.85546875" style="2"/>
    <col min="14082" max="14082" width="10.85546875" style="2" customWidth="1"/>
    <col min="14083" max="14085" width="8.85546875" style="2"/>
    <col min="14086" max="14086" width="2.85546875" style="2" customWidth="1"/>
    <col min="14087" max="14337" width="8.85546875" style="2"/>
    <col min="14338" max="14338" width="10.85546875" style="2" customWidth="1"/>
    <col min="14339" max="14341" width="8.85546875" style="2"/>
    <col min="14342" max="14342" width="2.85546875" style="2" customWidth="1"/>
    <col min="14343" max="14593" width="8.85546875" style="2"/>
    <col min="14594" max="14594" width="10.85546875" style="2" customWidth="1"/>
    <col min="14595" max="14597" width="8.85546875" style="2"/>
    <col min="14598" max="14598" width="2.85546875" style="2" customWidth="1"/>
    <col min="14599" max="14849" width="8.85546875" style="2"/>
    <col min="14850" max="14850" width="10.85546875" style="2" customWidth="1"/>
    <col min="14851" max="14853" width="8.85546875" style="2"/>
    <col min="14854" max="14854" width="2.85546875" style="2" customWidth="1"/>
    <col min="14855" max="15105" width="8.85546875" style="2"/>
    <col min="15106" max="15106" width="10.85546875" style="2" customWidth="1"/>
    <col min="15107" max="15109" width="8.85546875" style="2"/>
    <col min="15110" max="15110" width="2.85546875" style="2" customWidth="1"/>
    <col min="15111" max="15361" width="8.85546875" style="2"/>
    <col min="15362" max="15362" width="10.85546875" style="2" customWidth="1"/>
    <col min="15363" max="15365" width="8.85546875" style="2"/>
    <col min="15366" max="15366" width="2.85546875" style="2" customWidth="1"/>
    <col min="15367" max="15617" width="8.85546875" style="2"/>
    <col min="15618" max="15618" width="10.85546875" style="2" customWidth="1"/>
    <col min="15619" max="15621" width="8.85546875" style="2"/>
    <col min="15622" max="15622" width="2.85546875" style="2" customWidth="1"/>
    <col min="15623" max="15873" width="8.85546875" style="2"/>
    <col min="15874" max="15874" width="10.85546875" style="2" customWidth="1"/>
    <col min="15875" max="15877" width="8.85546875" style="2"/>
    <col min="15878" max="15878" width="2.85546875" style="2" customWidth="1"/>
    <col min="15879" max="16129" width="8.85546875" style="2"/>
    <col min="16130" max="16130" width="10.85546875" style="2" customWidth="1"/>
    <col min="16131" max="16133" width="8.85546875" style="2"/>
    <col min="16134" max="16134" width="2.85546875" style="2" customWidth="1"/>
    <col min="16135" max="16384" width="8.85546875" style="2"/>
  </cols>
  <sheetData>
    <row r="1" spans="1:19" ht="14.45" customHeight="1">
      <c r="O1" s="1"/>
    </row>
    <row r="2" spans="1:19" ht="14.45" customHeight="1">
      <c r="A2" s="11" t="s">
        <v>0</v>
      </c>
      <c r="B2" s="139" t="str">
        <f>Master!B2</f>
        <v>Anonymous</v>
      </c>
      <c r="C2" s="140"/>
      <c r="D2" s="141"/>
      <c r="E2" s="142" t="s">
        <v>1</v>
      </c>
      <c r="F2" s="143"/>
      <c r="G2" s="139" t="str">
        <f>Master!B3</f>
        <v>Consultant in Radiology</v>
      </c>
      <c r="H2" s="144"/>
      <c r="I2" s="144"/>
      <c r="J2" s="145"/>
      <c r="K2" s="146" t="s">
        <v>2</v>
      </c>
      <c r="L2" s="147"/>
      <c r="M2" s="84">
        <f>Master!B4</f>
        <v>45898</v>
      </c>
      <c r="N2" s="101">
        <f>Master!E4</f>
        <v>46262</v>
      </c>
      <c r="O2" s="18"/>
    </row>
    <row r="3" spans="1:19" ht="14.45" customHeight="1">
      <c r="A3" s="10"/>
      <c r="B3" s="10"/>
      <c r="C3" s="10"/>
      <c r="D3" s="10"/>
      <c r="E3" s="10"/>
      <c r="F3" s="10"/>
      <c r="G3" s="10"/>
      <c r="H3" s="10"/>
      <c r="I3" s="10"/>
      <c r="O3" s="10"/>
    </row>
    <row r="4" spans="1:19" ht="14.45" customHeight="1" thickBot="1">
      <c r="A4" s="9"/>
      <c r="B4" s="9"/>
      <c r="C4" s="9"/>
      <c r="F4" s="9"/>
      <c r="G4" s="9"/>
      <c r="H4" s="9"/>
      <c r="I4" s="9"/>
      <c r="J4" s="9"/>
      <c r="K4" s="9"/>
      <c r="L4" s="9"/>
      <c r="M4" s="9"/>
      <c r="N4" s="9"/>
      <c r="O4" s="18"/>
    </row>
    <row r="5" spans="1:19" ht="14.45" customHeight="1">
      <c r="A5" s="149" t="s">
        <v>49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50"/>
      <c r="O5" s="8"/>
    </row>
    <row r="6" spans="1:19" ht="14.45" customHeight="1">
      <c r="A6" s="15" t="s">
        <v>3</v>
      </c>
      <c r="B6" s="12" t="s">
        <v>4</v>
      </c>
      <c r="C6" s="154" t="s">
        <v>6</v>
      </c>
      <c r="D6" s="153"/>
      <c r="E6" s="151" t="s">
        <v>7</v>
      </c>
      <c r="F6" s="152"/>
      <c r="G6" s="151" t="s">
        <v>8</v>
      </c>
      <c r="H6" s="153"/>
      <c r="I6" s="151" t="s">
        <v>9</v>
      </c>
      <c r="J6" s="152"/>
      <c r="K6" s="151" t="s">
        <v>10</v>
      </c>
      <c r="L6" s="153"/>
      <c r="M6" s="12" t="s">
        <v>11</v>
      </c>
      <c r="N6" s="13" t="s">
        <v>12</v>
      </c>
      <c r="O6" s="8"/>
    </row>
    <row r="7" spans="1:19" ht="14.45" customHeight="1">
      <c r="A7" s="15"/>
      <c r="B7" s="12"/>
      <c r="C7" s="12" t="s">
        <v>15</v>
      </c>
      <c r="D7" s="12" t="s">
        <v>16</v>
      </c>
      <c r="E7" s="12" t="s">
        <v>15</v>
      </c>
      <c r="F7" s="12" t="s">
        <v>16</v>
      </c>
      <c r="G7" s="12" t="s">
        <v>15</v>
      </c>
      <c r="H7" s="12" t="s">
        <v>16</v>
      </c>
      <c r="I7" s="12" t="s">
        <v>15</v>
      </c>
      <c r="J7" s="12" t="s">
        <v>16</v>
      </c>
      <c r="K7" s="12" t="s">
        <v>15</v>
      </c>
      <c r="L7" s="12" t="s">
        <v>16</v>
      </c>
      <c r="M7" s="12"/>
      <c r="N7" s="13"/>
      <c r="O7" s="8"/>
    </row>
    <row r="8" spans="1:19" ht="14.45" customHeight="1">
      <c r="A8" s="140" t="s">
        <v>39</v>
      </c>
      <c r="B8" s="141"/>
      <c r="C8" s="75">
        <v>8</v>
      </c>
      <c r="D8" s="75">
        <v>0.5</v>
      </c>
      <c r="E8" s="75">
        <v>8</v>
      </c>
      <c r="F8" s="75">
        <v>2</v>
      </c>
      <c r="G8" s="75">
        <v>4.5</v>
      </c>
      <c r="H8" s="75">
        <v>1.5</v>
      </c>
      <c r="I8" s="75"/>
      <c r="J8" s="75"/>
      <c r="K8" s="75"/>
      <c r="L8" s="75"/>
      <c r="M8" s="76">
        <f>C8+E8+G8+I8+K8+3</f>
        <v>23.5</v>
      </c>
      <c r="N8" s="77">
        <f>D8+F8+H8+J8+L8+4</f>
        <v>8</v>
      </c>
      <c r="O8" s="9"/>
    </row>
    <row r="9" spans="1:19" ht="12.75" customHeight="1">
      <c r="A9" s="95">
        <v>46016</v>
      </c>
      <c r="B9" s="85" t="s">
        <v>5</v>
      </c>
      <c r="C9" s="86"/>
      <c r="D9" s="87"/>
      <c r="E9" s="86"/>
      <c r="F9" s="87"/>
      <c r="G9" s="86"/>
      <c r="H9" s="87"/>
      <c r="I9" s="86">
        <v>0</v>
      </c>
      <c r="J9" s="87">
        <v>0</v>
      </c>
      <c r="K9" s="86"/>
      <c r="L9" s="87"/>
      <c r="M9" s="34">
        <f t="shared" ref="M9:M14" si="0">C9+E9+G9+I9+K9</f>
        <v>0</v>
      </c>
      <c r="N9" s="33">
        <f t="shared" ref="N9:N14" si="1">D9+F9+H9+J9+L9</f>
        <v>0</v>
      </c>
      <c r="O9"/>
      <c r="P9"/>
      <c r="Q9"/>
      <c r="R9"/>
      <c r="S9"/>
    </row>
    <row r="10" spans="1:19" ht="12.75" customHeight="1">
      <c r="A10" s="95">
        <v>46017</v>
      </c>
      <c r="B10" s="85" t="s">
        <v>5</v>
      </c>
      <c r="C10" s="86"/>
      <c r="D10" s="87"/>
      <c r="E10" s="86"/>
      <c r="F10" s="87"/>
      <c r="G10" s="86"/>
      <c r="H10" s="87"/>
      <c r="I10" s="86"/>
      <c r="J10" s="87"/>
      <c r="K10" s="86">
        <v>0</v>
      </c>
      <c r="L10" s="87">
        <v>0</v>
      </c>
      <c r="M10" s="34">
        <f t="shared" si="0"/>
        <v>0</v>
      </c>
      <c r="N10" s="33">
        <f t="shared" si="1"/>
        <v>0</v>
      </c>
      <c r="O10"/>
      <c r="P10"/>
      <c r="Q10"/>
      <c r="R10"/>
      <c r="S10"/>
    </row>
    <row r="11" spans="1:19" ht="12.75" customHeight="1">
      <c r="A11" s="95">
        <v>46023</v>
      </c>
      <c r="B11" s="85" t="s">
        <v>5</v>
      </c>
      <c r="C11" s="86"/>
      <c r="D11" s="87"/>
      <c r="E11" s="86"/>
      <c r="F11" s="87"/>
      <c r="G11" s="86"/>
      <c r="H11" s="87"/>
      <c r="I11" s="86">
        <v>0</v>
      </c>
      <c r="J11" s="87">
        <v>0</v>
      </c>
      <c r="K11" s="86"/>
      <c r="L11" s="87"/>
      <c r="M11" s="34">
        <f t="shared" si="0"/>
        <v>0</v>
      </c>
      <c r="N11" s="33">
        <f t="shared" si="1"/>
        <v>0</v>
      </c>
      <c r="O11" s="9"/>
    </row>
    <row r="12" spans="1:19" ht="12.75" customHeight="1">
      <c r="A12" s="95">
        <v>46115</v>
      </c>
      <c r="B12" s="85" t="s">
        <v>5</v>
      </c>
      <c r="C12" s="86"/>
      <c r="D12" s="87"/>
      <c r="E12" s="86"/>
      <c r="F12" s="87"/>
      <c r="G12" s="86"/>
      <c r="H12" s="87"/>
      <c r="I12" s="86"/>
      <c r="J12" s="87"/>
      <c r="K12" s="86">
        <v>0</v>
      </c>
      <c r="L12" s="87">
        <v>0</v>
      </c>
      <c r="M12" s="34">
        <f t="shared" si="0"/>
        <v>0</v>
      </c>
      <c r="N12" s="33">
        <f t="shared" si="1"/>
        <v>0</v>
      </c>
      <c r="O12" s="9"/>
    </row>
    <row r="13" spans="1:19" ht="12.75" customHeight="1">
      <c r="A13" s="95">
        <v>46118</v>
      </c>
      <c r="B13" s="85" t="s">
        <v>5</v>
      </c>
      <c r="C13" s="86">
        <v>8</v>
      </c>
      <c r="D13" s="87">
        <v>0.5</v>
      </c>
      <c r="E13" s="86"/>
      <c r="F13" s="87"/>
      <c r="G13" s="86"/>
      <c r="H13" s="87"/>
      <c r="I13" s="86"/>
      <c r="J13" s="87"/>
      <c r="K13" s="86"/>
      <c r="L13" s="87"/>
      <c r="M13" s="34">
        <f t="shared" si="0"/>
        <v>8</v>
      </c>
      <c r="N13" s="33">
        <f t="shared" si="1"/>
        <v>0.5</v>
      </c>
      <c r="O13" s="9"/>
    </row>
    <row r="14" spans="1:19" ht="12.75" customHeight="1">
      <c r="A14" s="88">
        <v>46146</v>
      </c>
      <c r="B14" s="85" t="s">
        <v>5</v>
      </c>
      <c r="C14" s="89">
        <v>0</v>
      </c>
      <c r="D14" s="90">
        <v>0</v>
      </c>
      <c r="E14" s="89"/>
      <c r="F14" s="90"/>
      <c r="G14" s="89"/>
      <c r="H14" s="90"/>
      <c r="I14" s="89"/>
      <c r="J14" s="90"/>
      <c r="K14" s="89"/>
      <c r="L14" s="90"/>
      <c r="M14" s="34">
        <f t="shared" si="0"/>
        <v>0</v>
      </c>
      <c r="N14" s="33">
        <f t="shared" si="1"/>
        <v>0</v>
      </c>
      <c r="P14" s="2" t="s">
        <v>55</v>
      </c>
    </row>
    <row r="15" spans="1:19">
      <c r="A15" s="88">
        <v>46167</v>
      </c>
      <c r="B15" s="85" t="s">
        <v>5</v>
      </c>
      <c r="C15" s="89">
        <v>8</v>
      </c>
      <c r="D15" s="90">
        <v>0.5</v>
      </c>
      <c r="E15" s="89"/>
      <c r="F15" s="90"/>
      <c r="G15" s="89"/>
      <c r="H15" s="90"/>
      <c r="I15" s="89"/>
      <c r="J15" s="90"/>
      <c r="K15" s="89"/>
      <c r="L15" s="90"/>
      <c r="M15" s="34">
        <f>C15+E15+G15+I15+K15</f>
        <v>8</v>
      </c>
      <c r="N15" s="33">
        <f>D15+F15+H15+J15+L15</f>
        <v>0.5</v>
      </c>
    </row>
    <row r="16" spans="1:19" ht="12.75" customHeight="1">
      <c r="A16" s="96">
        <v>45950</v>
      </c>
      <c r="B16" s="97"/>
      <c r="C16" s="91">
        <v>8</v>
      </c>
      <c r="D16" s="92">
        <v>0.5</v>
      </c>
      <c r="E16" s="91"/>
      <c r="F16" s="92"/>
      <c r="G16" s="91"/>
      <c r="H16" s="92"/>
      <c r="I16" s="91"/>
      <c r="J16" s="92"/>
      <c r="K16" s="91"/>
      <c r="L16" s="92"/>
      <c r="M16" s="31">
        <f t="shared" ref="M16:M43" si="2">C16+E16+G16+I16+K16</f>
        <v>8</v>
      </c>
      <c r="N16" s="32">
        <f t="shared" ref="N16:N43" si="3">D16+F16+H16+J16+L16</f>
        <v>0.5</v>
      </c>
    </row>
    <row r="17" spans="1:18" ht="12.75" customHeight="1">
      <c r="A17" s="96">
        <v>45951</v>
      </c>
      <c r="B17" s="98"/>
      <c r="C17" s="91"/>
      <c r="D17" s="92"/>
      <c r="E17" s="91">
        <v>8</v>
      </c>
      <c r="F17" s="92">
        <v>2</v>
      </c>
      <c r="G17" s="91"/>
      <c r="H17" s="92"/>
      <c r="I17" s="91"/>
      <c r="J17" s="92"/>
      <c r="K17" s="91"/>
      <c r="L17" s="92"/>
      <c r="M17" s="31">
        <f t="shared" si="2"/>
        <v>8</v>
      </c>
      <c r="N17" s="32">
        <f t="shared" si="3"/>
        <v>2</v>
      </c>
    </row>
    <row r="18" spans="1:18" ht="12.75" customHeight="1">
      <c r="A18" s="96">
        <v>45952</v>
      </c>
      <c r="B18" s="93"/>
      <c r="C18" s="91"/>
      <c r="D18" s="92"/>
      <c r="E18" s="91"/>
      <c r="F18" s="92"/>
      <c r="G18" s="91">
        <v>4.5</v>
      </c>
      <c r="H18" s="92">
        <v>1.5</v>
      </c>
      <c r="I18" s="91"/>
      <c r="J18" s="92"/>
      <c r="K18" s="91"/>
      <c r="L18" s="92"/>
      <c r="M18" s="31">
        <f t="shared" si="2"/>
        <v>4.5</v>
      </c>
      <c r="N18" s="32">
        <f t="shared" si="3"/>
        <v>1.5</v>
      </c>
    </row>
    <row r="19" spans="1:18" ht="12.75" customHeight="1">
      <c r="A19" s="96">
        <v>45957</v>
      </c>
      <c r="B19" s="94"/>
      <c r="C19" s="91">
        <v>6.5</v>
      </c>
      <c r="D19" s="92"/>
      <c r="E19" s="91"/>
      <c r="F19" s="92"/>
      <c r="G19" s="91"/>
      <c r="H19" s="92"/>
      <c r="I19" s="91"/>
      <c r="J19" s="92"/>
      <c r="K19" s="91"/>
      <c r="L19" s="92"/>
      <c r="M19" s="31">
        <f t="shared" si="2"/>
        <v>6.5</v>
      </c>
      <c r="N19" s="32">
        <f t="shared" si="3"/>
        <v>0</v>
      </c>
    </row>
    <row r="20" spans="1:18" ht="12.75" customHeight="1">
      <c r="A20" s="96">
        <v>45999</v>
      </c>
      <c r="B20" s="93"/>
      <c r="C20" s="91">
        <v>8</v>
      </c>
      <c r="D20" s="92">
        <v>0</v>
      </c>
      <c r="E20" s="91"/>
      <c r="F20" s="92"/>
      <c r="G20" s="91"/>
      <c r="H20" s="92"/>
      <c r="I20" s="91"/>
      <c r="J20" s="92"/>
      <c r="K20" s="91"/>
      <c r="L20" s="92"/>
      <c r="M20" s="31">
        <f t="shared" si="2"/>
        <v>8</v>
      </c>
      <c r="N20" s="32">
        <f t="shared" si="3"/>
        <v>0</v>
      </c>
    </row>
    <row r="21" spans="1:18" ht="12.75" customHeight="1">
      <c r="A21" s="96">
        <v>38695</v>
      </c>
      <c r="B21" s="93"/>
      <c r="C21" s="91"/>
      <c r="D21" s="92"/>
      <c r="E21" s="91">
        <v>8</v>
      </c>
      <c r="F21" s="92">
        <v>2</v>
      </c>
      <c r="G21" s="91"/>
      <c r="H21" s="92"/>
      <c r="I21" s="91"/>
      <c r="J21" s="92"/>
      <c r="K21" s="91"/>
      <c r="L21" s="92"/>
      <c r="M21" s="31">
        <f t="shared" si="2"/>
        <v>8</v>
      </c>
      <c r="N21" s="32">
        <f t="shared" si="3"/>
        <v>2</v>
      </c>
    </row>
    <row r="22" spans="1:18" ht="12.75" customHeight="1">
      <c r="A22" s="96">
        <v>46001</v>
      </c>
      <c r="B22" s="93"/>
      <c r="C22" s="91"/>
      <c r="D22" s="92"/>
      <c r="E22" s="91"/>
      <c r="F22" s="92"/>
      <c r="G22" s="91">
        <v>4.5</v>
      </c>
      <c r="H22" s="92">
        <v>1.5</v>
      </c>
      <c r="I22" s="91"/>
      <c r="J22" s="92"/>
      <c r="K22" s="91"/>
      <c r="L22" s="92"/>
      <c r="M22" s="31">
        <f t="shared" si="2"/>
        <v>4.5</v>
      </c>
      <c r="N22" s="32">
        <f t="shared" si="3"/>
        <v>1.5</v>
      </c>
      <c r="R22" s="99"/>
    </row>
    <row r="23" spans="1:18" ht="12.75" customHeight="1">
      <c r="A23" s="96">
        <v>46006</v>
      </c>
      <c r="B23" s="94"/>
      <c r="C23" s="91">
        <v>8</v>
      </c>
      <c r="D23" s="92">
        <v>0.5</v>
      </c>
      <c r="E23" s="91"/>
      <c r="F23" s="92"/>
      <c r="G23" s="91"/>
      <c r="H23" s="92"/>
      <c r="I23" s="91"/>
      <c r="J23" s="92"/>
      <c r="K23" s="91"/>
      <c r="L23" s="92"/>
      <c r="M23" s="31">
        <f t="shared" si="2"/>
        <v>8</v>
      </c>
      <c r="N23" s="32">
        <f t="shared" si="3"/>
        <v>0.5</v>
      </c>
    </row>
    <row r="24" spans="1:18" ht="12.75" customHeight="1">
      <c r="A24" s="96">
        <v>46007</v>
      </c>
      <c r="B24" s="93"/>
      <c r="C24" s="91"/>
      <c r="D24" s="92"/>
      <c r="E24" s="91">
        <v>8</v>
      </c>
      <c r="F24" s="92">
        <v>2</v>
      </c>
      <c r="G24" s="91"/>
      <c r="H24" s="92"/>
      <c r="I24" s="91"/>
      <c r="J24" s="92"/>
      <c r="K24" s="91"/>
      <c r="L24" s="92"/>
      <c r="M24" s="31">
        <f t="shared" si="2"/>
        <v>8</v>
      </c>
      <c r="N24" s="32">
        <f t="shared" si="3"/>
        <v>2</v>
      </c>
    </row>
    <row r="25" spans="1:18" ht="12.75" customHeight="1">
      <c r="A25" s="96">
        <v>46008</v>
      </c>
      <c r="B25" s="93"/>
      <c r="C25" s="91"/>
      <c r="D25" s="92"/>
      <c r="E25" s="91"/>
      <c r="F25" s="92"/>
      <c r="G25" s="91">
        <v>4.5</v>
      </c>
      <c r="H25" s="92">
        <v>1.5</v>
      </c>
      <c r="I25" s="91"/>
      <c r="J25" s="92"/>
      <c r="K25" s="91"/>
      <c r="L25" s="92"/>
      <c r="M25" s="31">
        <f t="shared" si="2"/>
        <v>4.5</v>
      </c>
      <c r="N25" s="32">
        <f t="shared" si="3"/>
        <v>1.5</v>
      </c>
    </row>
    <row r="26" spans="1:18" ht="12.75" customHeight="1">
      <c r="A26" s="96">
        <v>46021</v>
      </c>
      <c r="B26" s="93"/>
      <c r="C26" s="91"/>
      <c r="D26" s="92"/>
      <c r="E26" s="91">
        <v>8</v>
      </c>
      <c r="F26" s="92">
        <v>0</v>
      </c>
      <c r="G26" s="91"/>
      <c r="H26" s="92"/>
      <c r="I26" s="91"/>
      <c r="J26" s="92"/>
      <c r="K26" s="91"/>
      <c r="L26" s="92"/>
      <c r="M26" s="31">
        <f t="shared" si="2"/>
        <v>8</v>
      </c>
      <c r="N26" s="32">
        <f t="shared" si="3"/>
        <v>0</v>
      </c>
    </row>
    <row r="27" spans="1:18" ht="12.75" customHeight="1">
      <c r="A27" s="96">
        <v>46022</v>
      </c>
      <c r="B27" s="93"/>
      <c r="C27" s="91"/>
      <c r="D27" s="92"/>
      <c r="E27" s="91"/>
      <c r="F27" s="92"/>
      <c r="G27" s="91">
        <v>4</v>
      </c>
      <c r="H27" s="92">
        <v>0</v>
      </c>
      <c r="I27" s="91"/>
      <c r="J27" s="92"/>
      <c r="K27" s="91"/>
      <c r="L27" s="92"/>
      <c r="M27" s="31">
        <f t="shared" si="2"/>
        <v>4</v>
      </c>
      <c r="N27" s="32">
        <f t="shared" si="3"/>
        <v>0</v>
      </c>
    </row>
    <row r="28" spans="1:18" ht="12.75" customHeight="1">
      <c r="A28" s="96">
        <v>38806</v>
      </c>
      <c r="B28" s="94"/>
      <c r="C28" s="91">
        <v>7.5</v>
      </c>
      <c r="D28" s="92">
        <v>0</v>
      </c>
      <c r="E28" s="91"/>
      <c r="F28" s="92"/>
      <c r="G28" s="91"/>
      <c r="H28" s="92"/>
      <c r="I28" s="91"/>
      <c r="J28" s="92"/>
      <c r="K28" s="91"/>
      <c r="L28" s="92"/>
      <c r="M28" s="31">
        <f t="shared" ref="M28:M34" si="4">C28+E28+G28+I28+K28</f>
        <v>7.5</v>
      </c>
      <c r="N28" s="32">
        <f t="shared" ref="N28:N34" si="5">D28+F28+H28+J28+L28</f>
        <v>0</v>
      </c>
    </row>
    <row r="29" spans="1:18" ht="12.75" customHeight="1">
      <c r="A29" s="96">
        <v>46112</v>
      </c>
      <c r="B29" s="93"/>
      <c r="C29" s="91"/>
      <c r="D29" s="92"/>
      <c r="E29" s="91">
        <v>4</v>
      </c>
      <c r="F29" s="92">
        <v>0</v>
      </c>
      <c r="G29" s="91"/>
      <c r="H29" s="92"/>
      <c r="I29" s="91"/>
      <c r="J29" s="92"/>
      <c r="K29" s="91"/>
      <c r="L29" s="92"/>
      <c r="M29" s="31">
        <f t="shared" si="4"/>
        <v>4</v>
      </c>
      <c r="N29" s="32">
        <f t="shared" si="5"/>
        <v>0</v>
      </c>
    </row>
    <row r="30" spans="1:18" ht="12.75" customHeight="1">
      <c r="A30" s="96">
        <v>46113</v>
      </c>
      <c r="B30" s="94"/>
      <c r="C30" s="91"/>
      <c r="D30" s="92"/>
      <c r="E30" s="91"/>
      <c r="F30" s="92"/>
      <c r="G30" s="91">
        <v>4.5</v>
      </c>
      <c r="H30" s="92">
        <v>0</v>
      </c>
      <c r="I30" s="91"/>
      <c r="J30" s="92"/>
      <c r="K30" s="91"/>
      <c r="L30" s="92"/>
      <c r="M30" s="31">
        <f t="shared" si="4"/>
        <v>4.5</v>
      </c>
      <c r="N30" s="32">
        <f t="shared" si="5"/>
        <v>0</v>
      </c>
    </row>
    <row r="31" spans="1:18" ht="12.75" customHeight="1">
      <c r="A31" s="16">
        <v>46119</v>
      </c>
      <c r="B31" s="3"/>
      <c r="C31" s="78"/>
      <c r="D31" s="79"/>
      <c r="E31" s="78">
        <v>5</v>
      </c>
      <c r="F31" s="79">
        <v>0</v>
      </c>
      <c r="G31" s="78"/>
      <c r="H31" s="79"/>
      <c r="I31" s="78"/>
      <c r="J31" s="79"/>
      <c r="K31" s="78"/>
      <c r="L31" s="79"/>
      <c r="M31" s="31">
        <f t="shared" si="4"/>
        <v>5</v>
      </c>
      <c r="N31" s="32">
        <f t="shared" si="5"/>
        <v>0</v>
      </c>
    </row>
    <row r="32" spans="1:18" ht="12.75" customHeight="1">
      <c r="A32" s="16">
        <v>46120</v>
      </c>
      <c r="B32" s="3"/>
      <c r="C32" s="78"/>
      <c r="D32" s="79"/>
      <c r="E32" s="78"/>
      <c r="F32" s="79"/>
      <c r="G32" s="78">
        <v>4.5</v>
      </c>
      <c r="H32" s="79">
        <v>0</v>
      </c>
      <c r="I32" s="78"/>
      <c r="J32" s="79"/>
      <c r="K32" s="78"/>
      <c r="L32" s="79"/>
      <c r="M32" s="31">
        <f t="shared" si="4"/>
        <v>4.5</v>
      </c>
      <c r="N32" s="32">
        <f t="shared" si="5"/>
        <v>0</v>
      </c>
    </row>
    <row r="33" spans="1:14" ht="12.75" customHeight="1">
      <c r="A33" s="17">
        <v>46202</v>
      </c>
      <c r="B33" s="5"/>
      <c r="C33" s="82">
        <v>6</v>
      </c>
      <c r="D33" s="83">
        <v>0</v>
      </c>
      <c r="E33" s="82"/>
      <c r="F33" s="83"/>
      <c r="G33" s="82"/>
      <c r="H33" s="83"/>
      <c r="I33" s="82"/>
      <c r="J33" s="83"/>
      <c r="K33" s="82"/>
      <c r="L33" s="83"/>
      <c r="M33" s="31">
        <f t="shared" si="4"/>
        <v>6</v>
      </c>
      <c r="N33" s="32">
        <f t="shared" si="5"/>
        <v>0</v>
      </c>
    </row>
    <row r="34" spans="1:14" ht="12.75" customHeight="1">
      <c r="A34" s="17">
        <v>46203</v>
      </c>
      <c r="B34" s="6"/>
      <c r="C34" s="80"/>
      <c r="D34" s="81"/>
      <c r="E34" s="80">
        <v>4</v>
      </c>
      <c r="F34" s="81">
        <v>0</v>
      </c>
      <c r="G34" s="80"/>
      <c r="H34" s="81"/>
      <c r="I34" s="80"/>
      <c r="J34" s="81"/>
      <c r="K34" s="80"/>
      <c r="L34" s="81"/>
      <c r="M34" s="31">
        <f t="shared" si="4"/>
        <v>4</v>
      </c>
      <c r="N34" s="32">
        <f t="shared" si="5"/>
        <v>0</v>
      </c>
    </row>
    <row r="35" spans="1:14" ht="12.75" customHeight="1">
      <c r="A35" s="96">
        <v>46204</v>
      </c>
      <c r="B35" s="94"/>
      <c r="C35" s="91"/>
      <c r="D35" s="92"/>
      <c r="E35" s="91"/>
      <c r="F35" s="92"/>
      <c r="G35" s="91">
        <v>3.5</v>
      </c>
      <c r="H35" s="92"/>
      <c r="I35" s="91"/>
      <c r="J35" s="92"/>
      <c r="K35" s="91"/>
      <c r="L35" s="92"/>
      <c r="M35" s="31">
        <f t="shared" si="2"/>
        <v>3.5</v>
      </c>
      <c r="N35" s="32">
        <f t="shared" si="3"/>
        <v>0</v>
      </c>
    </row>
    <row r="36" spans="1:14" ht="12.75" customHeight="1">
      <c r="A36" s="96">
        <v>46209</v>
      </c>
      <c r="B36" s="94"/>
      <c r="C36" s="91">
        <v>6</v>
      </c>
      <c r="D36" s="92">
        <v>0</v>
      </c>
      <c r="E36" s="91"/>
      <c r="F36" s="92"/>
      <c r="G36" s="91"/>
      <c r="H36" s="92"/>
      <c r="I36" s="91"/>
      <c r="J36" s="92"/>
      <c r="K36" s="91"/>
      <c r="L36" s="92"/>
      <c r="M36" s="31">
        <f t="shared" si="2"/>
        <v>6</v>
      </c>
      <c r="N36" s="32">
        <f t="shared" si="3"/>
        <v>0</v>
      </c>
    </row>
    <row r="37" spans="1:14" ht="12.75" customHeight="1">
      <c r="A37" s="96">
        <v>46210</v>
      </c>
      <c r="B37" s="93"/>
      <c r="C37" s="91"/>
      <c r="D37" s="92"/>
      <c r="E37" s="91">
        <v>4</v>
      </c>
      <c r="F37" s="92">
        <v>0</v>
      </c>
      <c r="G37" s="91"/>
      <c r="H37" s="92"/>
      <c r="I37" s="91"/>
      <c r="J37" s="92"/>
      <c r="K37" s="91"/>
      <c r="L37" s="92"/>
      <c r="M37" s="31">
        <f t="shared" si="2"/>
        <v>4</v>
      </c>
      <c r="N37" s="32">
        <f t="shared" si="3"/>
        <v>0</v>
      </c>
    </row>
    <row r="38" spans="1:14" ht="12.75" customHeight="1">
      <c r="A38" s="96">
        <v>46211</v>
      </c>
      <c r="B38" s="94"/>
      <c r="C38" s="91"/>
      <c r="D38" s="92"/>
      <c r="E38" s="91"/>
      <c r="F38" s="92"/>
      <c r="G38" s="91">
        <v>4.5</v>
      </c>
      <c r="H38" s="92">
        <v>0</v>
      </c>
      <c r="I38" s="91"/>
      <c r="J38" s="92"/>
      <c r="K38" s="91"/>
      <c r="L38" s="92"/>
      <c r="M38" s="31">
        <f t="shared" ref="M38:M41" si="6">C38+E38+G38+I38+K38</f>
        <v>4.5</v>
      </c>
      <c r="N38" s="32">
        <f t="shared" ref="N38:N41" si="7">D38+F38+H38+J38+L38</f>
        <v>0</v>
      </c>
    </row>
    <row r="39" spans="1:14" ht="12.75" customHeight="1">
      <c r="A39" s="16">
        <v>46216</v>
      </c>
      <c r="B39" s="3"/>
      <c r="C39" s="78">
        <v>6</v>
      </c>
      <c r="D39" s="79">
        <v>0</v>
      </c>
      <c r="E39" s="78"/>
      <c r="F39" s="79"/>
      <c r="G39" s="78"/>
      <c r="H39" s="79"/>
      <c r="I39" s="78"/>
      <c r="J39" s="79"/>
      <c r="K39" s="78"/>
      <c r="L39" s="79"/>
      <c r="M39" s="31">
        <f t="shared" si="6"/>
        <v>6</v>
      </c>
      <c r="N39" s="32">
        <f t="shared" si="7"/>
        <v>0</v>
      </c>
    </row>
    <row r="40" spans="1:14" ht="12.75" customHeight="1">
      <c r="A40" s="16">
        <v>46217</v>
      </c>
      <c r="B40" s="3"/>
      <c r="C40" s="78"/>
      <c r="D40" s="79"/>
      <c r="E40" s="78">
        <v>8</v>
      </c>
      <c r="F40" s="79">
        <v>0</v>
      </c>
      <c r="G40" s="78"/>
      <c r="H40" s="79"/>
      <c r="I40" s="78"/>
      <c r="J40" s="79"/>
      <c r="K40" s="78"/>
      <c r="L40" s="79"/>
      <c r="M40" s="31">
        <f t="shared" si="6"/>
        <v>8</v>
      </c>
      <c r="N40" s="32">
        <f t="shared" si="7"/>
        <v>0</v>
      </c>
    </row>
    <row r="41" spans="1:14" ht="12.75" customHeight="1">
      <c r="A41" s="17">
        <v>46218</v>
      </c>
      <c r="B41" s="5"/>
      <c r="C41" s="82"/>
      <c r="D41" s="83"/>
      <c r="E41" s="82"/>
      <c r="F41" s="83"/>
      <c r="G41" s="82">
        <v>4.5</v>
      </c>
      <c r="H41" s="83">
        <v>0</v>
      </c>
      <c r="I41" s="82"/>
      <c r="J41" s="83"/>
      <c r="K41" s="82"/>
      <c r="L41" s="83"/>
      <c r="M41" s="31">
        <f t="shared" si="6"/>
        <v>4.5</v>
      </c>
      <c r="N41" s="32">
        <f t="shared" si="7"/>
        <v>0</v>
      </c>
    </row>
    <row r="42" spans="1:14" ht="12.75" customHeight="1">
      <c r="A42" s="17"/>
      <c r="B42" s="4"/>
      <c r="C42" s="80"/>
      <c r="D42" s="81"/>
      <c r="E42" s="80"/>
      <c r="F42" s="81"/>
      <c r="G42" s="80"/>
      <c r="H42" s="81"/>
      <c r="I42" s="80"/>
      <c r="J42" s="81"/>
      <c r="K42" s="80"/>
      <c r="L42" s="81"/>
      <c r="M42" s="31">
        <f t="shared" si="2"/>
        <v>0</v>
      </c>
      <c r="N42" s="32">
        <f t="shared" si="3"/>
        <v>0</v>
      </c>
    </row>
    <row r="43" spans="1:14" ht="12.75" customHeight="1">
      <c r="A43" s="17"/>
      <c r="B43" s="4"/>
      <c r="C43" s="80"/>
      <c r="D43" s="81"/>
      <c r="E43" s="80"/>
      <c r="F43" s="81"/>
      <c r="G43" s="80"/>
      <c r="H43" s="81"/>
      <c r="I43" s="80"/>
      <c r="J43" s="81"/>
      <c r="K43" s="80"/>
      <c r="L43" s="81"/>
      <c r="M43" s="31">
        <f t="shared" si="2"/>
        <v>0</v>
      </c>
      <c r="N43" s="32">
        <f t="shared" si="3"/>
        <v>0</v>
      </c>
    </row>
    <row r="44" spans="1:14" ht="12.75" customHeight="1"/>
    <row r="45" spans="1:14" ht="12.75" customHeight="1">
      <c r="A45" s="148" t="s">
        <v>14</v>
      </c>
      <c r="B45" s="148"/>
      <c r="C45" s="7"/>
      <c r="D45" s="7"/>
      <c r="E45" s="7"/>
      <c r="F45" s="7"/>
      <c r="G45" s="7"/>
      <c r="H45" s="7"/>
      <c r="I45" s="7"/>
      <c r="J45" s="7"/>
      <c r="K45" s="7"/>
      <c r="L45" s="7"/>
      <c r="M45" s="14" t="s">
        <v>15</v>
      </c>
      <c r="N45" s="14" t="s">
        <v>16</v>
      </c>
    </row>
    <row r="46" spans="1:14" ht="12.75" customHeight="1">
      <c r="M46" s="30">
        <f>SUM(M9:M43)*(10/(MAX(Master!B14,10)))</f>
        <v>168</v>
      </c>
      <c r="N46" s="30">
        <f>SUM(N9:N43)*(10/(MAX(Master!B14,10)))</f>
        <v>12.5</v>
      </c>
    </row>
    <row r="47" spans="1:14" ht="12.75" customHeight="1" thickBot="1">
      <c r="M47" s="53"/>
      <c r="N47" s="54"/>
    </row>
    <row r="48" spans="1:14" ht="12.75" customHeight="1">
      <c r="A48" s="149" t="s">
        <v>50</v>
      </c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50"/>
    </row>
    <row r="49" spans="1:15" ht="14.45" customHeight="1">
      <c r="A49" s="15" t="s">
        <v>3</v>
      </c>
      <c r="B49" s="12" t="s">
        <v>4</v>
      </c>
      <c r="C49" s="154" t="s">
        <v>6</v>
      </c>
      <c r="D49" s="153"/>
      <c r="E49" s="151" t="s">
        <v>7</v>
      </c>
      <c r="F49" s="152"/>
      <c r="G49" s="151" t="s">
        <v>8</v>
      </c>
      <c r="H49" s="153"/>
      <c r="I49" s="151" t="s">
        <v>9</v>
      </c>
      <c r="J49" s="152"/>
      <c r="K49" s="151" t="s">
        <v>10</v>
      </c>
      <c r="L49" s="153"/>
      <c r="M49" s="12" t="s">
        <v>11</v>
      </c>
      <c r="N49" s="13" t="s">
        <v>12</v>
      </c>
      <c r="O49" s="8"/>
    </row>
    <row r="50" spans="1:15" ht="14.45" customHeight="1">
      <c r="A50" s="15"/>
      <c r="B50" s="12"/>
      <c r="C50" s="62" t="s">
        <v>15</v>
      </c>
      <c r="D50" s="62" t="s">
        <v>16</v>
      </c>
      <c r="E50" s="62" t="s">
        <v>15</v>
      </c>
      <c r="F50" s="62" t="s">
        <v>16</v>
      </c>
      <c r="G50" s="62" t="s">
        <v>15</v>
      </c>
      <c r="H50" s="62" t="s">
        <v>16</v>
      </c>
      <c r="I50" s="62" t="s">
        <v>15</v>
      </c>
      <c r="J50" s="62" t="s">
        <v>16</v>
      </c>
      <c r="K50" s="62" t="s">
        <v>15</v>
      </c>
      <c r="L50" s="62" t="s">
        <v>16</v>
      </c>
      <c r="M50" s="12"/>
      <c r="N50" s="13"/>
      <c r="O50" s="8"/>
    </row>
    <row r="51" spans="1:15" ht="12.75" customHeight="1">
      <c r="A51" s="140" t="s">
        <v>39</v>
      </c>
      <c r="B51" s="141"/>
      <c r="C51" s="75">
        <v>8</v>
      </c>
      <c r="D51" s="75">
        <v>0.5</v>
      </c>
      <c r="E51" s="75">
        <v>8</v>
      </c>
      <c r="F51" s="75">
        <v>2</v>
      </c>
      <c r="G51" s="75">
        <v>4.5</v>
      </c>
      <c r="H51" s="75">
        <v>1.5</v>
      </c>
      <c r="I51" s="75"/>
      <c r="J51" s="75"/>
      <c r="K51" s="75"/>
      <c r="L51" s="75"/>
      <c r="M51" s="76">
        <f>C51+E51+G51+I51+K51+3</f>
        <v>23.5</v>
      </c>
      <c r="N51" s="77">
        <f>D51+F51+H51+J51+L51+4</f>
        <v>8</v>
      </c>
    </row>
    <row r="52" spans="1:15" ht="12.75" customHeight="1">
      <c r="A52" s="17">
        <v>46244</v>
      </c>
      <c r="B52" s="6"/>
      <c r="C52" s="80">
        <v>8</v>
      </c>
      <c r="D52" s="81">
        <v>0.5</v>
      </c>
      <c r="E52" s="80"/>
      <c r="F52" s="81"/>
      <c r="G52" s="80"/>
      <c r="H52" s="81"/>
      <c r="I52" s="80"/>
      <c r="J52" s="81"/>
      <c r="K52" s="80"/>
      <c r="L52" s="81"/>
      <c r="M52" s="31">
        <f t="shared" ref="M52:M60" si="8">C52+E52+G52+I52+K52</f>
        <v>8</v>
      </c>
      <c r="N52" s="32">
        <f t="shared" ref="N52:N60" si="9">D52+F52+H52+J52+L52</f>
        <v>0.5</v>
      </c>
    </row>
    <row r="53" spans="1:15" ht="12.75" customHeight="1">
      <c r="A53" s="17">
        <v>46245</v>
      </c>
      <c r="B53" s="4"/>
      <c r="C53" s="80"/>
      <c r="D53" s="81"/>
      <c r="E53" s="80">
        <v>8</v>
      </c>
      <c r="F53" s="81">
        <v>2</v>
      </c>
      <c r="G53" s="80"/>
      <c r="H53" s="81"/>
      <c r="I53" s="80"/>
      <c r="J53" s="81"/>
      <c r="K53" s="80"/>
      <c r="L53" s="81"/>
      <c r="M53" s="31">
        <f t="shared" si="8"/>
        <v>8</v>
      </c>
      <c r="N53" s="32">
        <f t="shared" si="9"/>
        <v>2</v>
      </c>
    </row>
    <row r="54" spans="1:15" ht="12.75" customHeight="1">
      <c r="A54" s="96">
        <v>46246</v>
      </c>
      <c r="B54" s="94"/>
      <c r="C54" s="91"/>
      <c r="D54" s="92"/>
      <c r="E54" s="91"/>
      <c r="F54" s="92"/>
      <c r="G54" s="91">
        <v>4.5</v>
      </c>
      <c r="H54" s="92">
        <v>0</v>
      </c>
      <c r="I54" s="91"/>
      <c r="J54" s="92"/>
      <c r="K54" s="91"/>
      <c r="L54" s="92"/>
      <c r="M54" s="31">
        <f t="shared" si="8"/>
        <v>4.5</v>
      </c>
      <c r="N54" s="32">
        <f t="shared" si="9"/>
        <v>0</v>
      </c>
    </row>
    <row r="55" spans="1:15" ht="12.75" customHeight="1">
      <c r="A55" s="96">
        <v>46251</v>
      </c>
      <c r="B55" s="94"/>
      <c r="C55" s="91">
        <v>8</v>
      </c>
      <c r="D55" s="92">
        <v>0.5</v>
      </c>
      <c r="E55" s="91"/>
      <c r="F55" s="92"/>
      <c r="G55" s="91"/>
      <c r="H55" s="92"/>
      <c r="I55" s="91"/>
      <c r="J55" s="92"/>
      <c r="K55" s="91"/>
      <c r="L55" s="92"/>
      <c r="M55" s="31">
        <f t="shared" si="8"/>
        <v>8</v>
      </c>
      <c r="N55" s="32">
        <f t="shared" si="9"/>
        <v>0.5</v>
      </c>
    </row>
    <row r="56" spans="1:15" ht="12.75" customHeight="1">
      <c r="A56" s="16">
        <v>46252</v>
      </c>
      <c r="B56" s="3"/>
      <c r="C56" s="78"/>
      <c r="D56" s="79"/>
      <c r="E56" s="78">
        <v>8</v>
      </c>
      <c r="F56" s="79">
        <v>2</v>
      </c>
      <c r="G56" s="78"/>
      <c r="H56" s="79"/>
      <c r="I56" s="78"/>
      <c r="J56" s="79"/>
      <c r="K56" s="78"/>
      <c r="L56" s="79"/>
      <c r="M56" s="31">
        <f t="shared" si="8"/>
        <v>8</v>
      </c>
      <c r="N56" s="32">
        <f t="shared" si="9"/>
        <v>2</v>
      </c>
    </row>
    <row r="57" spans="1:15" ht="12.75" customHeight="1">
      <c r="A57" s="16">
        <v>46253</v>
      </c>
      <c r="B57" s="3"/>
      <c r="C57" s="78"/>
      <c r="D57" s="79"/>
      <c r="E57" s="78"/>
      <c r="F57" s="79"/>
      <c r="G57" s="78">
        <v>4.5</v>
      </c>
      <c r="H57" s="79">
        <v>0</v>
      </c>
      <c r="I57" s="78"/>
      <c r="J57" s="79"/>
      <c r="K57" s="78"/>
      <c r="L57" s="79"/>
      <c r="M57" s="31">
        <f t="shared" si="8"/>
        <v>4.5</v>
      </c>
      <c r="N57" s="32">
        <f t="shared" si="9"/>
        <v>0</v>
      </c>
    </row>
    <row r="58" spans="1:15" ht="12.75" customHeight="1">
      <c r="A58" s="17">
        <v>46258</v>
      </c>
      <c r="B58" s="5"/>
      <c r="C58" s="82">
        <v>8</v>
      </c>
      <c r="D58" s="83">
        <v>0.5</v>
      </c>
      <c r="E58" s="82"/>
      <c r="F58" s="83"/>
      <c r="G58" s="82"/>
      <c r="H58" s="83"/>
      <c r="I58" s="82"/>
      <c r="J58" s="83"/>
      <c r="K58" s="82"/>
      <c r="L58" s="83"/>
      <c r="M58" s="31">
        <f t="shared" si="8"/>
        <v>8</v>
      </c>
      <c r="N58" s="32">
        <f t="shared" si="9"/>
        <v>0.5</v>
      </c>
    </row>
    <row r="59" spans="1:15" ht="12.75" customHeight="1">
      <c r="A59" s="17">
        <v>46259</v>
      </c>
      <c r="B59" s="6"/>
      <c r="C59" s="80"/>
      <c r="D59" s="81"/>
      <c r="E59" s="80">
        <v>8</v>
      </c>
      <c r="F59" s="81">
        <v>0</v>
      </c>
      <c r="G59" s="80"/>
      <c r="H59" s="81"/>
      <c r="I59" s="80"/>
      <c r="J59" s="81"/>
      <c r="K59" s="80"/>
      <c r="L59" s="81"/>
      <c r="M59" s="31">
        <f t="shared" si="8"/>
        <v>8</v>
      </c>
      <c r="N59" s="32">
        <f t="shared" si="9"/>
        <v>0</v>
      </c>
    </row>
    <row r="60" spans="1:15" ht="12.75" customHeight="1">
      <c r="A60" s="17">
        <v>46260</v>
      </c>
      <c r="B60" s="4"/>
      <c r="C60" s="80"/>
      <c r="D60" s="81"/>
      <c r="E60" s="80"/>
      <c r="F60" s="81"/>
      <c r="G60" s="80">
        <v>4.5</v>
      </c>
      <c r="H60" s="81">
        <v>0</v>
      </c>
      <c r="I60" s="80"/>
      <c r="J60" s="81"/>
      <c r="K60" s="80"/>
      <c r="L60" s="81"/>
      <c r="M60" s="31">
        <f t="shared" si="8"/>
        <v>4.5</v>
      </c>
      <c r="N60" s="32">
        <f t="shared" si="9"/>
        <v>0</v>
      </c>
    </row>
    <row r="61" spans="1:15">
      <c r="A61" s="16"/>
      <c r="B61" s="3"/>
      <c r="C61" s="63"/>
      <c r="D61" s="64"/>
      <c r="E61" s="63"/>
      <c r="F61" s="64"/>
      <c r="G61" s="63"/>
      <c r="H61" s="64"/>
      <c r="I61" s="63"/>
      <c r="J61" s="64"/>
      <c r="K61" s="63"/>
      <c r="L61" s="64"/>
      <c r="M61" s="31">
        <f t="shared" ref="M61:M75" si="10">C61+E61+G61+I61+K61</f>
        <v>0</v>
      </c>
      <c r="N61" s="32">
        <f t="shared" ref="N61:N75" si="11">D61+F61+H61+J61+L61</f>
        <v>0</v>
      </c>
    </row>
    <row r="62" spans="1:15">
      <c r="A62" s="17"/>
      <c r="B62" s="4"/>
      <c r="C62" s="65"/>
      <c r="D62" s="66"/>
      <c r="E62" s="65"/>
      <c r="F62" s="66"/>
      <c r="G62" s="65"/>
      <c r="H62" s="66"/>
      <c r="I62" s="65"/>
      <c r="J62" s="66"/>
      <c r="K62" s="65"/>
      <c r="L62" s="66"/>
      <c r="M62" s="31">
        <f t="shared" si="10"/>
        <v>0</v>
      </c>
      <c r="N62" s="32">
        <f t="shared" si="11"/>
        <v>0</v>
      </c>
    </row>
    <row r="63" spans="1:15">
      <c r="A63" s="17"/>
      <c r="B63" s="4"/>
      <c r="C63" s="65"/>
      <c r="D63" s="66"/>
      <c r="E63" s="65"/>
      <c r="F63" s="66"/>
      <c r="G63" s="65"/>
      <c r="H63" s="66"/>
      <c r="I63" s="65"/>
      <c r="J63" s="66"/>
      <c r="K63" s="65"/>
      <c r="L63" s="66"/>
      <c r="M63" s="31">
        <f t="shared" si="10"/>
        <v>0</v>
      </c>
      <c r="N63" s="32">
        <f t="shared" si="11"/>
        <v>0</v>
      </c>
    </row>
    <row r="64" spans="1:15">
      <c r="A64" s="17"/>
      <c r="B64" s="4"/>
      <c r="C64" s="65"/>
      <c r="D64" s="66"/>
      <c r="E64" s="65"/>
      <c r="F64" s="66"/>
      <c r="G64" s="65"/>
      <c r="H64" s="66"/>
      <c r="I64" s="65"/>
      <c r="J64" s="66"/>
      <c r="K64" s="65"/>
      <c r="L64" s="66"/>
      <c r="M64" s="31">
        <f t="shared" si="10"/>
        <v>0</v>
      </c>
      <c r="N64" s="32">
        <f t="shared" si="11"/>
        <v>0</v>
      </c>
    </row>
    <row r="65" spans="1:14">
      <c r="A65" s="17"/>
      <c r="B65" s="4"/>
      <c r="C65" s="65"/>
      <c r="D65" s="66"/>
      <c r="E65" s="65"/>
      <c r="F65" s="66"/>
      <c r="G65" s="65"/>
      <c r="H65" s="66"/>
      <c r="I65" s="65"/>
      <c r="J65" s="66"/>
      <c r="K65" s="65"/>
      <c r="L65" s="66"/>
      <c r="M65" s="31">
        <f t="shared" si="10"/>
        <v>0</v>
      </c>
      <c r="N65" s="32">
        <f t="shared" si="11"/>
        <v>0</v>
      </c>
    </row>
    <row r="66" spans="1:14">
      <c r="A66" s="16"/>
      <c r="B66" s="3"/>
      <c r="C66" s="63"/>
      <c r="D66" s="64"/>
      <c r="E66" s="63"/>
      <c r="F66" s="64"/>
      <c r="G66" s="63"/>
      <c r="H66" s="64"/>
      <c r="I66" s="63"/>
      <c r="J66" s="64"/>
      <c r="K66" s="63"/>
      <c r="L66" s="64"/>
      <c r="M66" s="31">
        <f t="shared" si="10"/>
        <v>0</v>
      </c>
      <c r="N66" s="32">
        <f t="shared" si="11"/>
        <v>0</v>
      </c>
    </row>
    <row r="67" spans="1:14">
      <c r="A67" s="16"/>
      <c r="B67" s="3"/>
      <c r="C67" s="63"/>
      <c r="D67" s="64"/>
      <c r="E67" s="63"/>
      <c r="F67" s="64"/>
      <c r="G67" s="63"/>
      <c r="H67" s="64"/>
      <c r="I67" s="63"/>
      <c r="J67" s="64"/>
      <c r="K67" s="63"/>
      <c r="L67" s="64"/>
      <c r="M67" s="31">
        <f t="shared" si="10"/>
        <v>0</v>
      </c>
      <c r="N67" s="32">
        <f t="shared" si="11"/>
        <v>0</v>
      </c>
    </row>
    <row r="68" spans="1:14">
      <c r="A68" s="16"/>
      <c r="B68" s="3"/>
      <c r="C68" s="63"/>
      <c r="D68" s="64"/>
      <c r="E68" s="63"/>
      <c r="F68" s="64"/>
      <c r="G68" s="63"/>
      <c r="H68" s="64"/>
      <c r="I68" s="63"/>
      <c r="J68" s="64"/>
      <c r="K68" s="63"/>
      <c r="L68" s="64"/>
      <c r="M68" s="31">
        <f t="shared" si="10"/>
        <v>0</v>
      </c>
      <c r="N68" s="32">
        <f t="shared" si="11"/>
        <v>0</v>
      </c>
    </row>
    <row r="69" spans="1:14">
      <c r="A69" s="16"/>
      <c r="B69" s="3"/>
      <c r="C69" s="63"/>
      <c r="D69" s="64"/>
      <c r="E69" s="63"/>
      <c r="F69" s="64"/>
      <c r="G69" s="63"/>
      <c r="H69" s="64"/>
      <c r="I69" s="63"/>
      <c r="J69" s="64"/>
      <c r="K69" s="63"/>
      <c r="L69" s="64"/>
      <c r="M69" s="31">
        <f t="shared" si="10"/>
        <v>0</v>
      </c>
      <c r="N69" s="32">
        <f t="shared" si="11"/>
        <v>0</v>
      </c>
    </row>
    <row r="70" spans="1:14">
      <c r="A70" s="16"/>
      <c r="B70" s="3"/>
      <c r="C70" s="63"/>
      <c r="D70" s="64"/>
      <c r="E70" s="63"/>
      <c r="F70" s="64"/>
      <c r="G70" s="63"/>
      <c r="H70" s="64"/>
      <c r="I70" s="63"/>
      <c r="J70" s="64"/>
      <c r="K70" s="63"/>
      <c r="L70" s="64"/>
      <c r="M70" s="31">
        <f t="shared" si="10"/>
        <v>0</v>
      </c>
      <c r="N70" s="32">
        <f t="shared" si="11"/>
        <v>0</v>
      </c>
    </row>
    <row r="71" spans="1:14">
      <c r="A71" s="17"/>
      <c r="B71" s="5"/>
      <c r="C71" s="67"/>
      <c r="D71" s="68"/>
      <c r="E71" s="67"/>
      <c r="F71" s="68"/>
      <c r="G71" s="67"/>
      <c r="H71" s="68"/>
      <c r="I71" s="67"/>
      <c r="J71" s="68"/>
      <c r="K71" s="67"/>
      <c r="L71" s="68"/>
      <c r="M71" s="31">
        <f t="shared" si="10"/>
        <v>0</v>
      </c>
      <c r="N71" s="32">
        <f t="shared" si="11"/>
        <v>0</v>
      </c>
    </row>
    <row r="72" spans="1:14">
      <c r="A72" s="17"/>
      <c r="B72" s="6"/>
      <c r="C72" s="65"/>
      <c r="D72" s="66"/>
      <c r="E72" s="65"/>
      <c r="F72" s="66"/>
      <c r="G72" s="65"/>
      <c r="H72" s="66"/>
      <c r="I72" s="65"/>
      <c r="J72" s="66"/>
      <c r="K72" s="65"/>
      <c r="L72" s="66"/>
      <c r="M72" s="31">
        <f t="shared" si="10"/>
        <v>0</v>
      </c>
      <c r="N72" s="32">
        <f t="shared" si="11"/>
        <v>0</v>
      </c>
    </row>
    <row r="73" spans="1:14">
      <c r="A73" s="17"/>
      <c r="B73" s="4"/>
      <c r="C73" s="65"/>
      <c r="D73" s="66"/>
      <c r="E73" s="65"/>
      <c r="F73" s="66"/>
      <c r="G73" s="65"/>
      <c r="H73" s="66"/>
      <c r="I73" s="65"/>
      <c r="J73" s="66"/>
      <c r="K73" s="65"/>
      <c r="L73" s="66"/>
      <c r="M73" s="31">
        <f t="shared" si="10"/>
        <v>0</v>
      </c>
      <c r="N73" s="32">
        <f t="shared" si="11"/>
        <v>0</v>
      </c>
    </row>
    <row r="74" spans="1:14">
      <c r="A74" s="17"/>
      <c r="B74" s="4"/>
      <c r="C74" s="65"/>
      <c r="D74" s="66"/>
      <c r="E74" s="65"/>
      <c r="F74" s="66"/>
      <c r="G74" s="65"/>
      <c r="H74" s="66"/>
      <c r="I74" s="65"/>
      <c r="J74" s="66"/>
      <c r="K74" s="65"/>
      <c r="L74" s="66"/>
      <c r="M74" s="31">
        <f t="shared" si="10"/>
        <v>0</v>
      </c>
      <c r="N74" s="32">
        <f t="shared" si="11"/>
        <v>0</v>
      </c>
    </row>
    <row r="75" spans="1:14">
      <c r="A75" s="17"/>
      <c r="B75" s="4"/>
      <c r="C75" s="65"/>
      <c r="D75" s="66"/>
      <c r="E75" s="65"/>
      <c r="F75" s="66"/>
      <c r="G75" s="65"/>
      <c r="H75" s="66"/>
      <c r="I75" s="65"/>
      <c r="J75" s="66"/>
      <c r="K75" s="65"/>
      <c r="L75" s="66"/>
      <c r="M75" s="31">
        <f t="shared" si="10"/>
        <v>0</v>
      </c>
      <c r="N75" s="32">
        <f t="shared" si="11"/>
        <v>0</v>
      </c>
    </row>
    <row r="80" spans="1:14">
      <c r="A80" s="148" t="s">
        <v>14</v>
      </c>
      <c r="B80" s="148"/>
      <c r="C80" s="7"/>
      <c r="D80" s="7"/>
      <c r="E80" s="7"/>
      <c r="F80" s="7"/>
      <c r="G80" s="7"/>
      <c r="H80" s="7"/>
      <c r="I80" s="7"/>
      <c r="J80" s="7"/>
      <c r="K80" s="7"/>
      <c r="L80" s="7"/>
      <c r="M80" s="14" t="s">
        <v>15</v>
      </c>
      <c r="N80" s="14" t="s">
        <v>16</v>
      </c>
    </row>
    <row r="81" spans="13:14">
      <c r="M81" s="30">
        <f>SUM(M52:M75)*(10/(MAX(Master!E14,10)))</f>
        <v>61.5</v>
      </c>
      <c r="N81" s="30">
        <f>SUM(N52:N75)*(10/(MAX(Master!E14,10)))</f>
        <v>5.5</v>
      </c>
    </row>
  </sheetData>
  <mergeCells count="20">
    <mergeCell ref="A80:B80"/>
    <mergeCell ref="A48:N48"/>
    <mergeCell ref="C49:D49"/>
    <mergeCell ref="E49:F49"/>
    <mergeCell ref="G49:H49"/>
    <mergeCell ref="I49:J49"/>
    <mergeCell ref="K49:L49"/>
    <mergeCell ref="A51:B51"/>
    <mergeCell ref="B2:D2"/>
    <mergeCell ref="E2:F2"/>
    <mergeCell ref="G2:J2"/>
    <mergeCell ref="K2:L2"/>
    <mergeCell ref="A45:B45"/>
    <mergeCell ref="A5:N5"/>
    <mergeCell ref="I6:J6"/>
    <mergeCell ref="K6:L6"/>
    <mergeCell ref="A8:B8"/>
    <mergeCell ref="C6:D6"/>
    <mergeCell ref="E6:F6"/>
    <mergeCell ref="G6:H6"/>
  </mergeCells>
  <dataValidations disablePrompts="1" count="1">
    <dataValidation type="list" allowBlank="1" showErrorMessage="1" sqref="WVJ983066:WVJ983085 IX65562:IX65581 ST65562:ST65581 ACP65562:ACP65581 AML65562:AML65581 AWH65562:AWH65581 BGD65562:BGD65581 BPZ65562:BPZ65581 BZV65562:BZV65581 CJR65562:CJR65581 CTN65562:CTN65581 DDJ65562:DDJ65581 DNF65562:DNF65581 DXB65562:DXB65581 EGX65562:EGX65581 EQT65562:EQT65581 FAP65562:FAP65581 FKL65562:FKL65581 FUH65562:FUH65581 GED65562:GED65581 GNZ65562:GNZ65581 GXV65562:GXV65581 HHR65562:HHR65581 HRN65562:HRN65581 IBJ65562:IBJ65581 ILF65562:ILF65581 IVB65562:IVB65581 JEX65562:JEX65581 JOT65562:JOT65581 JYP65562:JYP65581 KIL65562:KIL65581 KSH65562:KSH65581 LCD65562:LCD65581 LLZ65562:LLZ65581 LVV65562:LVV65581 MFR65562:MFR65581 MPN65562:MPN65581 MZJ65562:MZJ65581 NJF65562:NJF65581 NTB65562:NTB65581 OCX65562:OCX65581 OMT65562:OMT65581 OWP65562:OWP65581 PGL65562:PGL65581 PQH65562:PQH65581 QAD65562:QAD65581 QJZ65562:QJZ65581 QTV65562:QTV65581 RDR65562:RDR65581 RNN65562:RNN65581 RXJ65562:RXJ65581 SHF65562:SHF65581 SRB65562:SRB65581 TAX65562:TAX65581 TKT65562:TKT65581 TUP65562:TUP65581 UEL65562:UEL65581 UOH65562:UOH65581 UYD65562:UYD65581 VHZ65562:VHZ65581 VRV65562:VRV65581 WBR65562:WBR65581 WLN65562:WLN65581 WVJ65562:WVJ65581 IX131098:IX131117 ST131098:ST131117 ACP131098:ACP131117 AML131098:AML131117 AWH131098:AWH131117 BGD131098:BGD131117 BPZ131098:BPZ131117 BZV131098:BZV131117 CJR131098:CJR131117 CTN131098:CTN131117 DDJ131098:DDJ131117 DNF131098:DNF131117 DXB131098:DXB131117 EGX131098:EGX131117 EQT131098:EQT131117 FAP131098:FAP131117 FKL131098:FKL131117 FUH131098:FUH131117 GED131098:GED131117 GNZ131098:GNZ131117 GXV131098:GXV131117 HHR131098:HHR131117 HRN131098:HRN131117 IBJ131098:IBJ131117 ILF131098:ILF131117 IVB131098:IVB131117 JEX131098:JEX131117 JOT131098:JOT131117 JYP131098:JYP131117 KIL131098:KIL131117 KSH131098:KSH131117 LCD131098:LCD131117 LLZ131098:LLZ131117 LVV131098:LVV131117 MFR131098:MFR131117 MPN131098:MPN131117 MZJ131098:MZJ131117 NJF131098:NJF131117 NTB131098:NTB131117 OCX131098:OCX131117 OMT131098:OMT131117 OWP131098:OWP131117 PGL131098:PGL131117 PQH131098:PQH131117 QAD131098:QAD131117 QJZ131098:QJZ131117 QTV131098:QTV131117 RDR131098:RDR131117 RNN131098:RNN131117 RXJ131098:RXJ131117 SHF131098:SHF131117 SRB131098:SRB131117 TAX131098:TAX131117 TKT131098:TKT131117 TUP131098:TUP131117 UEL131098:UEL131117 UOH131098:UOH131117 UYD131098:UYD131117 VHZ131098:VHZ131117 VRV131098:VRV131117 WBR131098:WBR131117 WLN131098:WLN131117 WVJ131098:WVJ131117 IX196634:IX196653 ST196634:ST196653 ACP196634:ACP196653 AML196634:AML196653 AWH196634:AWH196653 BGD196634:BGD196653 BPZ196634:BPZ196653 BZV196634:BZV196653 CJR196634:CJR196653 CTN196634:CTN196653 DDJ196634:DDJ196653 DNF196634:DNF196653 DXB196634:DXB196653 EGX196634:EGX196653 EQT196634:EQT196653 FAP196634:FAP196653 FKL196634:FKL196653 FUH196634:FUH196653 GED196634:GED196653 GNZ196634:GNZ196653 GXV196634:GXV196653 HHR196634:HHR196653 HRN196634:HRN196653 IBJ196634:IBJ196653 ILF196634:ILF196653 IVB196634:IVB196653 JEX196634:JEX196653 JOT196634:JOT196653 JYP196634:JYP196653 KIL196634:KIL196653 KSH196634:KSH196653 LCD196634:LCD196653 LLZ196634:LLZ196653 LVV196634:LVV196653 MFR196634:MFR196653 MPN196634:MPN196653 MZJ196634:MZJ196653 NJF196634:NJF196653 NTB196634:NTB196653 OCX196634:OCX196653 OMT196634:OMT196653 OWP196634:OWP196653 PGL196634:PGL196653 PQH196634:PQH196653 QAD196634:QAD196653 QJZ196634:QJZ196653 QTV196634:QTV196653 RDR196634:RDR196653 RNN196634:RNN196653 RXJ196634:RXJ196653 SHF196634:SHF196653 SRB196634:SRB196653 TAX196634:TAX196653 TKT196634:TKT196653 TUP196634:TUP196653 UEL196634:UEL196653 UOH196634:UOH196653 UYD196634:UYD196653 VHZ196634:VHZ196653 VRV196634:VRV196653 WBR196634:WBR196653 WLN196634:WLN196653 WVJ196634:WVJ196653 IX262170:IX262189 ST262170:ST262189 ACP262170:ACP262189 AML262170:AML262189 AWH262170:AWH262189 BGD262170:BGD262189 BPZ262170:BPZ262189 BZV262170:BZV262189 CJR262170:CJR262189 CTN262170:CTN262189 DDJ262170:DDJ262189 DNF262170:DNF262189 DXB262170:DXB262189 EGX262170:EGX262189 EQT262170:EQT262189 FAP262170:FAP262189 FKL262170:FKL262189 FUH262170:FUH262189 GED262170:GED262189 GNZ262170:GNZ262189 GXV262170:GXV262189 HHR262170:HHR262189 HRN262170:HRN262189 IBJ262170:IBJ262189 ILF262170:ILF262189 IVB262170:IVB262189 JEX262170:JEX262189 JOT262170:JOT262189 JYP262170:JYP262189 KIL262170:KIL262189 KSH262170:KSH262189 LCD262170:LCD262189 LLZ262170:LLZ262189 LVV262170:LVV262189 MFR262170:MFR262189 MPN262170:MPN262189 MZJ262170:MZJ262189 NJF262170:NJF262189 NTB262170:NTB262189 OCX262170:OCX262189 OMT262170:OMT262189 OWP262170:OWP262189 PGL262170:PGL262189 PQH262170:PQH262189 QAD262170:QAD262189 QJZ262170:QJZ262189 QTV262170:QTV262189 RDR262170:RDR262189 RNN262170:RNN262189 RXJ262170:RXJ262189 SHF262170:SHF262189 SRB262170:SRB262189 TAX262170:TAX262189 TKT262170:TKT262189 TUP262170:TUP262189 UEL262170:UEL262189 UOH262170:UOH262189 UYD262170:UYD262189 VHZ262170:VHZ262189 VRV262170:VRV262189 WBR262170:WBR262189 WLN262170:WLN262189 WVJ262170:WVJ262189 IX327706:IX327725 ST327706:ST327725 ACP327706:ACP327725 AML327706:AML327725 AWH327706:AWH327725 BGD327706:BGD327725 BPZ327706:BPZ327725 BZV327706:BZV327725 CJR327706:CJR327725 CTN327706:CTN327725 DDJ327706:DDJ327725 DNF327706:DNF327725 DXB327706:DXB327725 EGX327706:EGX327725 EQT327706:EQT327725 FAP327706:FAP327725 FKL327706:FKL327725 FUH327706:FUH327725 GED327706:GED327725 GNZ327706:GNZ327725 GXV327706:GXV327725 HHR327706:HHR327725 HRN327706:HRN327725 IBJ327706:IBJ327725 ILF327706:ILF327725 IVB327706:IVB327725 JEX327706:JEX327725 JOT327706:JOT327725 JYP327706:JYP327725 KIL327706:KIL327725 KSH327706:KSH327725 LCD327706:LCD327725 LLZ327706:LLZ327725 LVV327706:LVV327725 MFR327706:MFR327725 MPN327706:MPN327725 MZJ327706:MZJ327725 NJF327706:NJF327725 NTB327706:NTB327725 OCX327706:OCX327725 OMT327706:OMT327725 OWP327706:OWP327725 PGL327706:PGL327725 PQH327706:PQH327725 QAD327706:QAD327725 QJZ327706:QJZ327725 QTV327706:QTV327725 RDR327706:RDR327725 RNN327706:RNN327725 RXJ327706:RXJ327725 SHF327706:SHF327725 SRB327706:SRB327725 TAX327706:TAX327725 TKT327706:TKT327725 TUP327706:TUP327725 UEL327706:UEL327725 UOH327706:UOH327725 UYD327706:UYD327725 VHZ327706:VHZ327725 VRV327706:VRV327725 WBR327706:WBR327725 WLN327706:WLN327725 WVJ327706:WVJ327725 IX393242:IX393261 ST393242:ST393261 ACP393242:ACP393261 AML393242:AML393261 AWH393242:AWH393261 BGD393242:BGD393261 BPZ393242:BPZ393261 BZV393242:BZV393261 CJR393242:CJR393261 CTN393242:CTN393261 DDJ393242:DDJ393261 DNF393242:DNF393261 DXB393242:DXB393261 EGX393242:EGX393261 EQT393242:EQT393261 FAP393242:FAP393261 FKL393242:FKL393261 FUH393242:FUH393261 GED393242:GED393261 GNZ393242:GNZ393261 GXV393242:GXV393261 HHR393242:HHR393261 HRN393242:HRN393261 IBJ393242:IBJ393261 ILF393242:ILF393261 IVB393242:IVB393261 JEX393242:JEX393261 JOT393242:JOT393261 JYP393242:JYP393261 KIL393242:KIL393261 KSH393242:KSH393261 LCD393242:LCD393261 LLZ393242:LLZ393261 LVV393242:LVV393261 MFR393242:MFR393261 MPN393242:MPN393261 MZJ393242:MZJ393261 NJF393242:NJF393261 NTB393242:NTB393261 OCX393242:OCX393261 OMT393242:OMT393261 OWP393242:OWP393261 PGL393242:PGL393261 PQH393242:PQH393261 QAD393242:QAD393261 QJZ393242:QJZ393261 QTV393242:QTV393261 RDR393242:RDR393261 RNN393242:RNN393261 RXJ393242:RXJ393261 SHF393242:SHF393261 SRB393242:SRB393261 TAX393242:TAX393261 TKT393242:TKT393261 TUP393242:TUP393261 UEL393242:UEL393261 UOH393242:UOH393261 UYD393242:UYD393261 VHZ393242:VHZ393261 VRV393242:VRV393261 WBR393242:WBR393261 WLN393242:WLN393261 WVJ393242:WVJ393261 IX458778:IX458797 ST458778:ST458797 ACP458778:ACP458797 AML458778:AML458797 AWH458778:AWH458797 BGD458778:BGD458797 BPZ458778:BPZ458797 BZV458778:BZV458797 CJR458778:CJR458797 CTN458778:CTN458797 DDJ458778:DDJ458797 DNF458778:DNF458797 DXB458778:DXB458797 EGX458778:EGX458797 EQT458778:EQT458797 FAP458778:FAP458797 FKL458778:FKL458797 FUH458778:FUH458797 GED458778:GED458797 GNZ458778:GNZ458797 GXV458778:GXV458797 HHR458778:HHR458797 HRN458778:HRN458797 IBJ458778:IBJ458797 ILF458778:ILF458797 IVB458778:IVB458797 JEX458778:JEX458797 JOT458778:JOT458797 JYP458778:JYP458797 KIL458778:KIL458797 KSH458778:KSH458797 LCD458778:LCD458797 LLZ458778:LLZ458797 LVV458778:LVV458797 MFR458778:MFR458797 MPN458778:MPN458797 MZJ458778:MZJ458797 NJF458778:NJF458797 NTB458778:NTB458797 OCX458778:OCX458797 OMT458778:OMT458797 OWP458778:OWP458797 PGL458778:PGL458797 PQH458778:PQH458797 QAD458778:QAD458797 QJZ458778:QJZ458797 QTV458778:QTV458797 RDR458778:RDR458797 RNN458778:RNN458797 RXJ458778:RXJ458797 SHF458778:SHF458797 SRB458778:SRB458797 TAX458778:TAX458797 TKT458778:TKT458797 TUP458778:TUP458797 UEL458778:UEL458797 UOH458778:UOH458797 UYD458778:UYD458797 VHZ458778:VHZ458797 VRV458778:VRV458797 WBR458778:WBR458797 WLN458778:WLN458797 WVJ458778:WVJ458797 IX524314:IX524333 ST524314:ST524333 ACP524314:ACP524333 AML524314:AML524333 AWH524314:AWH524333 BGD524314:BGD524333 BPZ524314:BPZ524333 BZV524314:BZV524333 CJR524314:CJR524333 CTN524314:CTN524333 DDJ524314:DDJ524333 DNF524314:DNF524333 DXB524314:DXB524333 EGX524314:EGX524333 EQT524314:EQT524333 FAP524314:FAP524333 FKL524314:FKL524333 FUH524314:FUH524333 GED524314:GED524333 GNZ524314:GNZ524333 GXV524314:GXV524333 HHR524314:HHR524333 HRN524314:HRN524333 IBJ524314:IBJ524333 ILF524314:ILF524333 IVB524314:IVB524333 JEX524314:JEX524333 JOT524314:JOT524333 JYP524314:JYP524333 KIL524314:KIL524333 KSH524314:KSH524333 LCD524314:LCD524333 LLZ524314:LLZ524333 LVV524314:LVV524333 MFR524314:MFR524333 MPN524314:MPN524333 MZJ524314:MZJ524333 NJF524314:NJF524333 NTB524314:NTB524333 OCX524314:OCX524333 OMT524314:OMT524333 OWP524314:OWP524333 PGL524314:PGL524333 PQH524314:PQH524333 QAD524314:QAD524333 QJZ524314:QJZ524333 QTV524314:QTV524333 RDR524314:RDR524333 RNN524314:RNN524333 RXJ524314:RXJ524333 SHF524314:SHF524333 SRB524314:SRB524333 TAX524314:TAX524333 TKT524314:TKT524333 TUP524314:TUP524333 UEL524314:UEL524333 UOH524314:UOH524333 UYD524314:UYD524333 VHZ524314:VHZ524333 VRV524314:VRV524333 WBR524314:WBR524333 WLN524314:WLN524333 WVJ524314:WVJ524333 IX589850:IX589869 ST589850:ST589869 ACP589850:ACP589869 AML589850:AML589869 AWH589850:AWH589869 BGD589850:BGD589869 BPZ589850:BPZ589869 BZV589850:BZV589869 CJR589850:CJR589869 CTN589850:CTN589869 DDJ589850:DDJ589869 DNF589850:DNF589869 DXB589850:DXB589869 EGX589850:EGX589869 EQT589850:EQT589869 FAP589850:FAP589869 FKL589850:FKL589869 FUH589850:FUH589869 GED589850:GED589869 GNZ589850:GNZ589869 GXV589850:GXV589869 HHR589850:HHR589869 HRN589850:HRN589869 IBJ589850:IBJ589869 ILF589850:ILF589869 IVB589850:IVB589869 JEX589850:JEX589869 JOT589850:JOT589869 JYP589850:JYP589869 KIL589850:KIL589869 KSH589850:KSH589869 LCD589850:LCD589869 LLZ589850:LLZ589869 LVV589850:LVV589869 MFR589850:MFR589869 MPN589850:MPN589869 MZJ589850:MZJ589869 NJF589850:NJF589869 NTB589850:NTB589869 OCX589850:OCX589869 OMT589850:OMT589869 OWP589850:OWP589869 PGL589850:PGL589869 PQH589850:PQH589869 QAD589850:QAD589869 QJZ589850:QJZ589869 QTV589850:QTV589869 RDR589850:RDR589869 RNN589850:RNN589869 RXJ589850:RXJ589869 SHF589850:SHF589869 SRB589850:SRB589869 TAX589850:TAX589869 TKT589850:TKT589869 TUP589850:TUP589869 UEL589850:UEL589869 UOH589850:UOH589869 UYD589850:UYD589869 VHZ589850:VHZ589869 VRV589850:VRV589869 WBR589850:WBR589869 WLN589850:WLN589869 WVJ589850:WVJ589869 IX655386:IX655405 ST655386:ST655405 ACP655386:ACP655405 AML655386:AML655405 AWH655386:AWH655405 BGD655386:BGD655405 BPZ655386:BPZ655405 BZV655386:BZV655405 CJR655386:CJR655405 CTN655386:CTN655405 DDJ655386:DDJ655405 DNF655386:DNF655405 DXB655386:DXB655405 EGX655386:EGX655405 EQT655386:EQT655405 FAP655386:FAP655405 FKL655386:FKL655405 FUH655386:FUH655405 GED655386:GED655405 GNZ655386:GNZ655405 GXV655386:GXV655405 HHR655386:HHR655405 HRN655386:HRN655405 IBJ655386:IBJ655405 ILF655386:ILF655405 IVB655386:IVB655405 JEX655386:JEX655405 JOT655386:JOT655405 JYP655386:JYP655405 KIL655386:KIL655405 KSH655386:KSH655405 LCD655386:LCD655405 LLZ655386:LLZ655405 LVV655386:LVV655405 MFR655386:MFR655405 MPN655386:MPN655405 MZJ655386:MZJ655405 NJF655386:NJF655405 NTB655386:NTB655405 OCX655386:OCX655405 OMT655386:OMT655405 OWP655386:OWP655405 PGL655386:PGL655405 PQH655386:PQH655405 QAD655386:QAD655405 QJZ655386:QJZ655405 QTV655386:QTV655405 RDR655386:RDR655405 RNN655386:RNN655405 RXJ655386:RXJ655405 SHF655386:SHF655405 SRB655386:SRB655405 TAX655386:TAX655405 TKT655386:TKT655405 TUP655386:TUP655405 UEL655386:UEL655405 UOH655386:UOH655405 UYD655386:UYD655405 VHZ655386:VHZ655405 VRV655386:VRV655405 WBR655386:WBR655405 WLN655386:WLN655405 WVJ655386:WVJ655405 IX720922:IX720941 ST720922:ST720941 ACP720922:ACP720941 AML720922:AML720941 AWH720922:AWH720941 BGD720922:BGD720941 BPZ720922:BPZ720941 BZV720922:BZV720941 CJR720922:CJR720941 CTN720922:CTN720941 DDJ720922:DDJ720941 DNF720922:DNF720941 DXB720922:DXB720941 EGX720922:EGX720941 EQT720922:EQT720941 FAP720922:FAP720941 FKL720922:FKL720941 FUH720922:FUH720941 GED720922:GED720941 GNZ720922:GNZ720941 GXV720922:GXV720941 HHR720922:HHR720941 HRN720922:HRN720941 IBJ720922:IBJ720941 ILF720922:ILF720941 IVB720922:IVB720941 JEX720922:JEX720941 JOT720922:JOT720941 JYP720922:JYP720941 KIL720922:KIL720941 KSH720922:KSH720941 LCD720922:LCD720941 LLZ720922:LLZ720941 LVV720922:LVV720941 MFR720922:MFR720941 MPN720922:MPN720941 MZJ720922:MZJ720941 NJF720922:NJF720941 NTB720922:NTB720941 OCX720922:OCX720941 OMT720922:OMT720941 OWP720922:OWP720941 PGL720922:PGL720941 PQH720922:PQH720941 QAD720922:QAD720941 QJZ720922:QJZ720941 QTV720922:QTV720941 RDR720922:RDR720941 RNN720922:RNN720941 RXJ720922:RXJ720941 SHF720922:SHF720941 SRB720922:SRB720941 TAX720922:TAX720941 TKT720922:TKT720941 TUP720922:TUP720941 UEL720922:UEL720941 UOH720922:UOH720941 UYD720922:UYD720941 VHZ720922:VHZ720941 VRV720922:VRV720941 WBR720922:WBR720941 WLN720922:WLN720941 WVJ720922:WVJ720941 IX786458:IX786477 ST786458:ST786477 ACP786458:ACP786477 AML786458:AML786477 AWH786458:AWH786477 BGD786458:BGD786477 BPZ786458:BPZ786477 BZV786458:BZV786477 CJR786458:CJR786477 CTN786458:CTN786477 DDJ786458:DDJ786477 DNF786458:DNF786477 DXB786458:DXB786477 EGX786458:EGX786477 EQT786458:EQT786477 FAP786458:FAP786477 FKL786458:FKL786477 FUH786458:FUH786477 GED786458:GED786477 GNZ786458:GNZ786477 GXV786458:GXV786477 HHR786458:HHR786477 HRN786458:HRN786477 IBJ786458:IBJ786477 ILF786458:ILF786477 IVB786458:IVB786477 JEX786458:JEX786477 JOT786458:JOT786477 JYP786458:JYP786477 KIL786458:KIL786477 KSH786458:KSH786477 LCD786458:LCD786477 LLZ786458:LLZ786477 LVV786458:LVV786477 MFR786458:MFR786477 MPN786458:MPN786477 MZJ786458:MZJ786477 NJF786458:NJF786477 NTB786458:NTB786477 OCX786458:OCX786477 OMT786458:OMT786477 OWP786458:OWP786477 PGL786458:PGL786477 PQH786458:PQH786477 QAD786458:QAD786477 QJZ786458:QJZ786477 QTV786458:QTV786477 RDR786458:RDR786477 RNN786458:RNN786477 RXJ786458:RXJ786477 SHF786458:SHF786477 SRB786458:SRB786477 TAX786458:TAX786477 TKT786458:TKT786477 TUP786458:TUP786477 UEL786458:UEL786477 UOH786458:UOH786477 UYD786458:UYD786477 VHZ786458:VHZ786477 VRV786458:VRV786477 WBR786458:WBR786477 WLN786458:WLN786477 WVJ786458:WVJ786477 IX851994:IX852013 ST851994:ST852013 ACP851994:ACP852013 AML851994:AML852013 AWH851994:AWH852013 BGD851994:BGD852013 BPZ851994:BPZ852013 BZV851994:BZV852013 CJR851994:CJR852013 CTN851994:CTN852013 DDJ851994:DDJ852013 DNF851994:DNF852013 DXB851994:DXB852013 EGX851994:EGX852013 EQT851994:EQT852013 FAP851994:FAP852013 FKL851994:FKL852013 FUH851994:FUH852013 GED851994:GED852013 GNZ851994:GNZ852013 GXV851994:GXV852013 HHR851994:HHR852013 HRN851994:HRN852013 IBJ851994:IBJ852013 ILF851994:ILF852013 IVB851994:IVB852013 JEX851994:JEX852013 JOT851994:JOT852013 JYP851994:JYP852013 KIL851994:KIL852013 KSH851994:KSH852013 LCD851994:LCD852013 LLZ851994:LLZ852013 LVV851994:LVV852013 MFR851994:MFR852013 MPN851994:MPN852013 MZJ851994:MZJ852013 NJF851994:NJF852013 NTB851994:NTB852013 OCX851994:OCX852013 OMT851994:OMT852013 OWP851994:OWP852013 PGL851994:PGL852013 PQH851994:PQH852013 QAD851994:QAD852013 QJZ851994:QJZ852013 QTV851994:QTV852013 RDR851994:RDR852013 RNN851994:RNN852013 RXJ851994:RXJ852013 SHF851994:SHF852013 SRB851994:SRB852013 TAX851994:TAX852013 TKT851994:TKT852013 TUP851994:TUP852013 UEL851994:UEL852013 UOH851994:UOH852013 UYD851994:UYD852013 VHZ851994:VHZ852013 VRV851994:VRV852013 WBR851994:WBR852013 WLN851994:WLN852013 WVJ851994:WVJ852013 IX917530:IX917549 ST917530:ST917549 ACP917530:ACP917549 AML917530:AML917549 AWH917530:AWH917549 BGD917530:BGD917549 BPZ917530:BPZ917549 BZV917530:BZV917549 CJR917530:CJR917549 CTN917530:CTN917549 DDJ917530:DDJ917549 DNF917530:DNF917549 DXB917530:DXB917549 EGX917530:EGX917549 EQT917530:EQT917549 FAP917530:FAP917549 FKL917530:FKL917549 FUH917530:FUH917549 GED917530:GED917549 GNZ917530:GNZ917549 GXV917530:GXV917549 HHR917530:HHR917549 HRN917530:HRN917549 IBJ917530:IBJ917549 ILF917530:ILF917549 IVB917530:IVB917549 JEX917530:JEX917549 JOT917530:JOT917549 JYP917530:JYP917549 KIL917530:KIL917549 KSH917530:KSH917549 LCD917530:LCD917549 LLZ917530:LLZ917549 LVV917530:LVV917549 MFR917530:MFR917549 MPN917530:MPN917549 MZJ917530:MZJ917549 NJF917530:NJF917549 NTB917530:NTB917549 OCX917530:OCX917549 OMT917530:OMT917549 OWP917530:OWP917549 PGL917530:PGL917549 PQH917530:PQH917549 QAD917530:QAD917549 QJZ917530:QJZ917549 QTV917530:QTV917549 RDR917530:RDR917549 RNN917530:RNN917549 RXJ917530:RXJ917549 SHF917530:SHF917549 SRB917530:SRB917549 TAX917530:TAX917549 TKT917530:TKT917549 TUP917530:TUP917549 UEL917530:UEL917549 UOH917530:UOH917549 UYD917530:UYD917549 VHZ917530:VHZ917549 VRV917530:VRV917549 WBR917530:WBR917549 WLN917530:WLN917549 WVJ917530:WVJ917549 IX983066:IX983085 ST983066:ST983085 ACP983066:ACP983085 AML983066:AML983085 AWH983066:AWH983085 BGD983066:BGD983085 BPZ983066:BPZ983085 BZV983066:BZV983085 CJR983066:CJR983085 CTN983066:CTN983085 DDJ983066:DDJ983085 DNF983066:DNF983085 DXB983066:DXB983085 EGX983066:EGX983085 EQT983066:EQT983085 FAP983066:FAP983085 FKL983066:FKL983085 FUH983066:FUH983085 GED983066:GED983085 GNZ983066:GNZ983085 GXV983066:GXV983085 HHR983066:HHR983085 HRN983066:HRN983085 IBJ983066:IBJ983085 ILF983066:ILF983085 IVB983066:IVB983085 JEX983066:JEX983085 JOT983066:JOT983085 JYP983066:JYP983085 KIL983066:KIL983085 KSH983066:KSH983085 LCD983066:LCD983085 LLZ983066:LLZ983085 LVV983066:LVV983085 MFR983066:MFR983085 MPN983066:MPN983085 MZJ983066:MZJ983085 NJF983066:NJF983085 NTB983066:NTB983085 OCX983066:OCX983085 OMT983066:OMT983085 OWP983066:OWP983085 PGL983066:PGL983085 PQH983066:PQH983085 QAD983066:QAD983085 QJZ983066:QJZ983085 QTV983066:QTV983085 RDR983066:RDR983085 RNN983066:RNN983085 RXJ983066:RXJ983085 SHF983066:SHF983085 SRB983066:SRB983085 TAX983066:TAX983085 TKT983066:TKT983085 TUP983066:TUP983085 UEL983066:UEL983085 UOH983066:UOH983085 UYD983066:UYD983085 VHZ983066:VHZ983085 VRV983066:VRV983085 WBR983066:WBR983085 WLN983066:WLN983085 SO51:SO60 SO14:SO41 SO42:SO48 ACK51:ACK60 ACK14:ACK41 ACK42:ACK48 AMG51:AMG60 AMG14:AMG41 AMG42:AMG48 AWC51:AWC60 AWC14:AWC41 AWC42:AWC48 BFY51:BFY60 BFY14:BFY41 BFY42:BFY48 BPU51:BPU60 BPU14:BPU41 BPU42:BPU48 BZQ51:BZQ60 BZQ14:BZQ41 BZQ42:BZQ48 CJM51:CJM60 CJM14:CJM41 CJM42:CJM48 CTI51:CTI60 CTI14:CTI41 CTI42:CTI48 DDE51:DDE60 DDE14:DDE41 DDE42:DDE48 DNA51:DNA60 DNA14:DNA41 DNA42:DNA48 DWW51:DWW60 DWW14:DWW41 DWW42:DWW48 EGS51:EGS60 EGS14:EGS41 EGS42:EGS48 EQO51:EQO60 EQO14:EQO41 EQO42:EQO48 FAK51:FAK60 FAK14:FAK41 FAK42:FAK48 FKG51:FKG60 FKG14:FKG41 FKG42:FKG48 FUC51:FUC60 FUC14:FUC41 FUC42:FUC48 GDY51:GDY60 GDY14:GDY41 GDY42:GDY48 GNU51:GNU60 GNU14:GNU41 GNU42:GNU48 GXQ51:GXQ60 GXQ14:GXQ41 GXQ42:GXQ48 HHM51:HHM60 HHM14:HHM41 HHM42:HHM48 HRI51:HRI60 HRI14:HRI41 HRI42:HRI48 IBE51:IBE60 IBE14:IBE41 IBE42:IBE48 ILA51:ILA60 ILA14:ILA41 ILA42:ILA48 IUW51:IUW60 IUW14:IUW41 IUW42:IUW48 JES51:JES60 JES14:JES41 JES42:JES48 JOO51:JOO60 JOO14:JOO41 JOO42:JOO48 JYK51:JYK60 JYK14:JYK41 JYK42:JYK48 KIG51:KIG60 KIG14:KIG41 KIG42:KIG48 KSC51:KSC60 KSC14:KSC41 KSC42:KSC48 LBY51:LBY60 LBY14:LBY41 LBY42:LBY48 LLU51:LLU60 LLU14:LLU41 LLU42:LLU48 LVQ51:LVQ60 LVQ14:LVQ41 LVQ42:LVQ48 MFM51:MFM60 MFM14:MFM41 MFM42:MFM48 MPI51:MPI60 MPI14:MPI41 MPI42:MPI48 MZE51:MZE60 MZE14:MZE41 MZE42:MZE48 NJA51:NJA60 NJA14:NJA41 NJA42:NJA48 NSW51:NSW60 NSW14:NSW41 NSW42:NSW48 OCS51:OCS60 OCS14:OCS41 OCS42:OCS48 OMO51:OMO60 OMO14:OMO41 OMO42:OMO48 OWK51:OWK60 OWK14:OWK41 OWK42:OWK48 PGG51:PGG60 PGG14:PGG41 PGG42:PGG48 PQC51:PQC60 PQC14:PQC41 PQC42:PQC48 PZY51:PZY60 PZY14:PZY41 PZY42:PZY48 QJU51:QJU60 QJU14:QJU41 QJU42:QJU48 QTQ51:QTQ60 QTQ14:QTQ41 QTQ42:QTQ48 RDM51:RDM60 RDM14:RDM41 RDM42:RDM48 RNI51:RNI60 RNI14:RNI41 RNI42:RNI48 RXE51:RXE60 RXE14:RXE41 RXE42:RXE48 SHA51:SHA60 SHA14:SHA41 SHA42:SHA48 SQW51:SQW60 SQW14:SQW41 SQW42:SQW48 TAS51:TAS60 TAS14:TAS41 TAS42:TAS48 TKO51:TKO60 TKO14:TKO41 TKO42:TKO48 TUK51:TUK60 TUK14:TUK41 TUK42:TUK48 UEG51:UEG60 UEG14:UEG41 UEG42:UEG48 UOC51:UOC60 UOC14:UOC41 UOC42:UOC48 UXY51:UXY60 UXY14:UXY41 UXY42:UXY48 VHU51:VHU60 VHU14:VHU41 VHU42:VHU48 VRQ51:VRQ60 VRQ14:VRQ41 VRQ42:VRQ48 WBM51:WBM60 WBM14:WBM41 WBM42:WBM48 WLI51:WLI60 WLI14:WLI41 WLI42:WLI48 WVE51:WVE60 WVE14:WVE41 WVE42:WVE48 IS51:IS60 IS14:IS41 IS42:IS48" xr:uid="{000E84CE-8065-44FC-8561-FC4A86CA40E9}">
      <formula1>OtherLeaveType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673B0-E4D5-49F1-8B52-0BB9068D2E37}">
  <dimension ref="B2:D10"/>
  <sheetViews>
    <sheetView workbookViewId="0">
      <selection activeCell="D12" sqref="D12"/>
    </sheetView>
  </sheetViews>
  <sheetFormatPr defaultRowHeight="15"/>
  <cols>
    <col min="2" max="2" width="16" customWidth="1"/>
  </cols>
  <sheetData>
    <row r="2" spans="2:4">
      <c r="B2" s="23"/>
      <c r="C2" s="27" t="s">
        <v>30</v>
      </c>
      <c r="D2" s="28" t="s">
        <v>31</v>
      </c>
    </row>
    <row r="3" spans="2:4">
      <c r="B3" s="24" t="s">
        <v>25</v>
      </c>
      <c r="C3" s="19">
        <v>30</v>
      </c>
      <c r="D3" s="20">
        <f>6*8*5</f>
        <v>240</v>
      </c>
    </row>
    <row r="4" spans="2:4">
      <c r="B4" s="24" t="s">
        <v>27</v>
      </c>
      <c r="C4" s="19">
        <v>2</v>
      </c>
      <c r="D4" s="20">
        <f>2*8</f>
        <v>16</v>
      </c>
    </row>
    <row r="5" spans="2:4">
      <c r="B5" s="24" t="s">
        <v>26</v>
      </c>
      <c r="C5" s="19">
        <v>2</v>
      </c>
      <c r="D5" s="20">
        <v>16</v>
      </c>
    </row>
    <row r="6" spans="2:4">
      <c r="B6" s="25" t="s">
        <v>28</v>
      </c>
      <c r="C6" s="21">
        <v>2</v>
      </c>
      <c r="D6" s="20">
        <f>2*8</f>
        <v>16</v>
      </c>
    </row>
    <row r="7" spans="2:4">
      <c r="B7" s="24" t="s">
        <v>29</v>
      </c>
      <c r="C7" s="103">
        <v>7</v>
      </c>
      <c r="D7" s="20">
        <f>8*C7</f>
        <v>56</v>
      </c>
    </row>
    <row r="8" spans="2:4">
      <c r="B8" s="26" t="s">
        <v>32</v>
      </c>
      <c r="C8" s="22"/>
      <c r="D8" s="29">
        <f>SUM(D3:D7)</f>
        <v>344</v>
      </c>
    </row>
    <row r="10" spans="2:4">
      <c r="B10" s="102" t="s">
        <v>54</v>
      </c>
      <c r="D10">
        <f>D8*(MIN(Master!B14,10)/10)</f>
        <v>291.36800000000005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Annual Leave Log</vt:lpstr>
      <vt:lpstr>Sheet1</vt:lpstr>
    </vt:vector>
  </TitlesOfParts>
  <Company>Hoople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HERON, James (WYE VALLEY NHS TRUST)</dc:creator>
  <cp:lastModifiedBy>Ollie Heron</cp:lastModifiedBy>
  <dcterms:created xsi:type="dcterms:W3CDTF">2026-06-11T10:05:30Z</dcterms:created>
  <dcterms:modified xsi:type="dcterms:W3CDTF">2026-08-06T09:35:44Z</dcterms:modified>
</cp:coreProperties>
</file>